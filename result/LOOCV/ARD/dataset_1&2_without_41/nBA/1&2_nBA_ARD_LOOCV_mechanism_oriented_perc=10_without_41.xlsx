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1806\0_doctor_reserch\1_nitroxide\paper\250604_3rd_submit_M06\github\Mechanism_Oriented_Reaction_Descriptors_for_living_radical_polymerization\result\LOOCV\ARD\without_41\nBA\"/>
    </mc:Choice>
  </mc:AlternateContent>
  <xr:revisionPtr revIDLastSave="0" documentId="13_ncr:1_{9B8A4498-702A-465F-B95B-28A4C5CCF078}" xr6:coauthVersionLast="47" xr6:coauthVersionMax="47" xr10:uidLastSave="{00000000-0000-0000-0000-000000000000}"/>
  <bookViews>
    <workbookView xWindow="28680" yWindow="-3045" windowWidth="29040" windowHeight="15720" activeTab="1" xr2:uid="{00000000-000D-0000-FFFF-FFFF00000000}"/>
  </bookViews>
  <sheets>
    <sheet name="Sheet1" sheetId="1" r:id="rId1"/>
    <sheet name="compare_to_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J2" i="2"/>
  <c r="K2" i="2" s="1"/>
  <c r="J3" i="2"/>
  <c r="K3" i="2" s="1"/>
  <c r="J18" i="2"/>
  <c r="K18" i="2" s="1"/>
  <c r="K30" i="2"/>
  <c r="K31" i="2" s="1"/>
  <c r="K32" i="2"/>
  <c r="K33" i="2" s="1"/>
  <c r="J32" i="2"/>
  <c r="J33" i="2" s="1"/>
  <c r="J30" i="2"/>
  <c r="J31" i="2" s="1"/>
  <c r="J4" i="2"/>
  <c r="K4" i="2" s="1"/>
  <c r="J24" i="2"/>
  <c r="K24" i="2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9" i="2"/>
  <c r="K19" i="2" s="1"/>
  <c r="E20" i="2" l="1"/>
  <c r="O12" i="2"/>
  <c r="O10" i="2"/>
  <c r="O11" i="2"/>
  <c r="O14" i="2"/>
  <c r="O13" i="2"/>
  <c r="Q2" i="2"/>
  <c r="N4" i="2"/>
  <c r="N3" i="2"/>
  <c r="L4" i="2"/>
  <c r="M4" i="2" s="1"/>
  <c r="L3" i="2"/>
  <c r="M3" i="2" s="1"/>
  <c r="O4" i="2"/>
  <c r="O16" i="2"/>
  <c r="N2" i="2"/>
  <c r="L2" i="2"/>
  <c r="M2" i="2" s="1"/>
  <c r="O9" i="2"/>
  <c r="O8" i="2"/>
  <c r="O6" i="2"/>
  <c r="Q3" i="2"/>
  <c r="O3" i="2"/>
  <c r="O19" i="2"/>
  <c r="O17" i="2"/>
  <c r="O2" i="2"/>
  <c r="O15" i="2"/>
  <c r="O5" i="2"/>
  <c r="O7" i="2"/>
  <c r="O18" i="2"/>
  <c r="N8" i="2"/>
  <c r="Q5" i="2"/>
  <c r="Q6" i="2"/>
  <c r="Q7" i="2"/>
  <c r="Q8" i="2"/>
  <c r="Q9" i="2"/>
  <c r="Q10" i="2"/>
  <c r="Q4" i="2"/>
  <c r="Q19" i="2"/>
  <c r="Q18" i="2"/>
  <c r="Q17" i="2"/>
  <c r="Q16" i="2"/>
  <c r="Q15" i="2"/>
  <c r="Q14" i="2"/>
  <c r="Q13" i="2"/>
  <c r="Q12" i="2"/>
  <c r="Q11" i="2"/>
  <c r="N19" i="2"/>
  <c r="N18" i="2"/>
  <c r="N17" i="2"/>
  <c r="N16" i="2"/>
  <c r="N15" i="2"/>
  <c r="N14" i="2"/>
  <c r="N13" i="2"/>
  <c r="N12" i="2"/>
  <c r="N11" i="2"/>
  <c r="N10" i="2"/>
  <c r="N9" i="2"/>
  <c r="N7" i="2"/>
  <c r="N6" i="2"/>
  <c r="N5" i="2"/>
  <c r="L16" i="2"/>
  <c r="M16" i="2" s="1"/>
  <c r="L15" i="2"/>
  <c r="M15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19" i="2"/>
  <c r="M19" i="2" s="1"/>
  <c r="L18" i="2"/>
  <c r="M18" i="2" s="1"/>
  <c r="L17" i="2"/>
  <c r="M17" i="2" s="1"/>
  <c r="L14" i="2"/>
  <c r="M14" i="2" s="1"/>
  <c r="L13" i="2"/>
  <c r="M13" i="2" s="1"/>
  <c r="L12" i="2"/>
  <c r="M12" i="2" s="1"/>
  <c r="M20" i="2" l="1"/>
</calcChain>
</file>

<file path=xl/sharedStrings.xml><?xml version="1.0" encoding="utf-8"?>
<sst xmlns="http://schemas.openxmlformats.org/spreadsheetml/2006/main" count="103" uniqueCount="84">
  <si>
    <t>inner_R2</t>
  </si>
  <si>
    <t>pred_y</t>
  </si>
  <si>
    <t>observed_y</t>
  </si>
  <si>
    <t>top10_features</t>
  </si>
  <si>
    <t>top10_coefficients</t>
  </si>
  <si>
    <t>24</t>
  </si>
  <si>
    <t>Index(['CNC_angle_dormant', 'LUMO_dormant', 'Dihedral_angle_mediator',
       'Buried_volume_N_dormant_3_5', 'Distance_C_O_dormant',
       'Buried_volume_N_mediator_3_5', 'Distance_N_O_dormant', 'ΔH',
       'HOMO_dormant'],
      dtype='object')</t>
  </si>
  <si>
    <t>[-0.33, 0.2, -0.19, 0.18, -0.11, -0.05, 0.02, -0.01, 0.0]</t>
  </si>
  <si>
    <t>25</t>
  </si>
  <si>
    <t>Index(['CNC_angle_dormant', 'Buried_volume_N_dormant_3_5', 'LUMO_dormant',
       'Dihedral_angle_mediator', 'Buried_volume_N_mediator_3_5',
       'Distance_C_O_dormant', 'NPA_O_mediator', 'HOMO_dormant',
       'SOMO_mediater', 'Distance_N_O_dormant'],
      dtype='object')</t>
  </si>
  <si>
    <t>[-0.3, 0.25, 0.23, -0.18, -0.13, -0.11, -0.05, -0.03, 0.0, 0.0]</t>
  </si>
  <si>
    <t>26</t>
  </si>
  <si>
    <t>Index(['CNC_angle_dormant', 'Buried_volume_N_dormant_3_5', 'LUMO_dormant',
       'Dihedral_angle_mediator', 'Distance_C_O_dormant',
       'Buried_volume_N_mediator_3_5', 'NPA_O_mediator', 'SOMO_mediater',
       'HOMO_dormant', 'Distance_N_O_dormant'],
      dtype='object')</t>
  </si>
  <si>
    <t>[-0.36, 0.23, 0.22, -0.22, -0.12, -0.1, -0.06, 0.0, 0.0, 0.0]</t>
  </si>
  <si>
    <t>27</t>
  </si>
  <si>
    <t>Index(['CNC_angle_dormant', 'LUMO_dormant', 'Buried_volume_N_dormant_3_5',
       'Dihedral_angle_mediator', 'Buried_volume_N_mediator_3_5',
       'Distance_C_O_dormant', 'Buried_volume_O_mediator_3_5',
       'Distance_N_O_dormant', 'ΔH'],
      dtype='object')</t>
  </si>
  <si>
    <t>[-0.35, 0.23, 0.22, -0.2, -0.15, -0.1, 0.08, 0.0, 0.0]</t>
  </si>
  <si>
    <t>28</t>
  </si>
  <si>
    <t>Index(['CNC_angle_dormant', 'LUMO_dormant', 'Dihedral_angle_mediator',
       'Buried_volume_N_dormant_3_5', 'Distance_C_O_dormant',
       'Buried_volume_N_mediator_3_5', 'Distance_N_O_dormant', 'HOMO_dormant',
       'ΔH', 'SOMO_mediater'],
      dtype='object')</t>
  </si>
  <si>
    <t>[-0.3, 0.22, -0.2, 0.19, -0.12, -0.08, 0.01, 0.0, 0.0, 0.0]</t>
  </si>
  <si>
    <t>29</t>
  </si>
  <si>
    <t>Index(['CNC_angle_dormant', 'Dihedral_angle_mediator', 'LUMO_dormant',
       'Buried_volume_N_dormant_3_5', 'Distance_C_O_dormant', 'SOMO_mediater',
       'Distance_N_O_dormant', 'HOMO_dormant', 'ΔH', 'NPA_O_mediator'],
      dtype='object')</t>
  </si>
  <si>
    <t>[-0.3, -0.24, 0.2, 0.13, -0.12, 0.04, 0.03, 0.0, 0.0, 0.0]</t>
  </si>
  <si>
    <t>30a</t>
  </si>
  <si>
    <t>Index(['CNC_angle_dormant', 'LUMO_dormant', 'Dihedral_angle_mediator',
       'Buried_volume_N_dormant_3_5', 'Distance_C_O_dormant',
       'Buried_volume_N_mediator_3_5', 'NPA_O_mediator',
       'Distance_N_O_dormant', 'HOMO_dormant', 'ΔH'],
      dtype='object')</t>
  </si>
  <si>
    <t>[-0.34, 0.22, -0.2, 0.19, -0.12, -0.1, -0.04, 0.01, 0.0, 0.0]</t>
  </si>
  <si>
    <t>30b</t>
  </si>
  <si>
    <t>Index(['NPA_O_dormant', 'LUMO_dormant', 'CNC_angle_dormant',
       'Distance_C_O_dormant', 'Buried_volume_N_dormant_3_5', 'SOMO_mediater',
       'ΔH', 'HOMO_dormant', 'Buried_volume_N_mediator_3_5',
       'Distance_N_O_dormant'],
      dtype='object')</t>
  </si>
  <si>
    <t>[0.38, 0.12, -0.08, -0.07, 0.05, 0.05, -0.02, 0.0, 0.0, 0.0]</t>
  </si>
  <si>
    <t>31</t>
  </si>
  <si>
    <t>Index(['CNC_angle_dormant', 'LUMO_dormant', 'Dihedral_angle_mediator',
       'Buried_volume_N_dormant_3_5', 'Distance_C_O_dormant',
       'Buried_volume_N_mediator_3_5', 'Distance_N_O_dormant', 'NPA_O_dormant',
       'HOMO_dormant', 'ΔH'],
      dtype='object')</t>
  </si>
  <si>
    <t>[-0.32, 0.22, -0.2, 0.2, -0.12, -0.08, 0.01, 0.0, 0.0, 0.0]</t>
  </si>
  <si>
    <t>32</t>
  </si>
  <si>
    <t>Index(['CNC_angle_dormant', 'Buried_volume_N_dormant_3_5',
       'HOMO_LUMO_GAP_dormant', 'Dihedral_angle_mediator',
       'Distance_C_O_dormant', 'Buried_volume_N_mediator_3_5', 'HOMO_dormant',
       'SOMO_mediater', 'NPA_O_mediator', 'Distance_N_O_dormant'],
      dtype='object')</t>
  </si>
  <si>
    <t>[-0.26, 0.21, 0.19, -0.18, -0.11, -0.09, 0.05, 0.02, -0.01, 0.0]</t>
  </si>
  <si>
    <t>33</t>
  </si>
  <si>
    <t>Index(['CNC_angle_dormant', 'Buried_volume_N_dormant_3_5',
       'HOMO_LUMO_GAP_dormant', 'Dihedral_angle_mediator',
       'Distance_C_O_dormant', 'Buried_volume_N_mediator_3_5', 'SOMO_mediater',
       'NPA_O_dormant', 'HOMO_dormant', 'Distance_N_O_dormant'],
      dtype='object')</t>
  </si>
  <si>
    <t>[-0.24, 0.2, 0.2, -0.18, -0.15, -0.09, 0.07, 0.02, 0.0, 0.0]</t>
  </si>
  <si>
    <t>35</t>
  </si>
  <si>
    <t>Index(['Dihedral_angle_mediator', 'CNC_angle_dormant', 'LUMO_dormant',
       'Distance_C_O_dormant', 'SOMO_mediater', 'ΔH', 'Distance_N_O_dormant',
       'NPA_O_mediator'],
      dtype='object')</t>
  </si>
  <si>
    <t>[-0.26, -0.26, 0.13, -0.11, 0.11, -0.0, 0.0, 0.0]</t>
  </si>
  <si>
    <t>36</t>
  </si>
  <si>
    <t>Index(['CNC_angle_dormant', 'LUMO_dormant', 'Buried_volume_N_dormant_3_5',
       'Dihedral_angle_mediator', 'Distance_C_O_dormant',
       'Buried_volume_N_mediator_3_5', 'Distance_N_O_dormant', 'NPA_O_dormant',
       'HOMO_dormant', 'ΔH'],
      dtype='object')</t>
  </si>
  <si>
    <t>[-0.32, 0.22, 0.2, -0.19, -0.13, -0.08, 0.01, 0.0, 0.0, 0.0]</t>
  </si>
  <si>
    <t>37</t>
  </si>
  <si>
    <t>Index(['CNC_angle_dormant', 'Dihedral_angle_mediator',
       'Buried_volume_N_dormant_3_5', 'LUMO_dormant', 'Distance_C_O_dormant',
       'Buried_volume_N_mediator_3_5', 'NPA_O_mediator',
       'Distance_N_O_dormant', 'HOMO_dormant', 'ΔH'],
      dtype='object')</t>
  </si>
  <si>
    <t>[-0.37, -0.22, 0.22, 0.18, -0.12, -0.11, -0.05, 0.04, 0.0, 0.0]</t>
  </si>
  <si>
    <t>38</t>
  </si>
  <si>
    <t>Index(['CNC_angle_dormant', 'LUMO_dormant', 'Buried_volume_N_dormant_3_5',
       'Distance_C_O_dormant', 'Buried_volume_N_mediator_3_5',
       'Dihedral_angle_mediator', 'HOMO_dormant', 'Distance_N_O_dormant', 'ΔH',
       'SOMO_mediater'],
      dtype='object')</t>
  </si>
  <si>
    <t>[-0.37, 0.28, 0.26, -0.13, -0.12, -0.03, 0.0, 0.0, 0.0, 0.0]</t>
  </si>
  <si>
    <t>39</t>
  </si>
  <si>
    <t>Index(['CNC_angle_dormant', 'Dihedral_angle_mediator', 'HOMO_dormant',
       'HOMO_LUMO_GAP_dormant', 'Distance_C_O_dormant', 'ΔH',
       'Distance_N_O_dormant'],
      dtype='object')</t>
  </si>
  <si>
    <t>[-0.35, -0.25, 0.22, 0.14, -0.02, -0.0, 0.0]</t>
  </si>
  <si>
    <t>40</t>
  </si>
  <si>
    <t>Index(['CNC_angle_dormant', 'HOMO_LUMO_GAP_dormant',
       'Buried_volume_N_dormant_3_5', 'Dihedral_angle_mediator',
       'Distance_C_O_dormant', 'Buried_volume_N_mediator_3_5', 'HOMO_dormant',
       'NPA_O_mediator', 'Distance_N_O_dormant', 'ΔH'],
      dtype='object')</t>
  </si>
  <si>
    <t>[-0.28, 0.22, 0.2, -0.16, -0.12, -0.1, 0.04, -0.0, 0.0, 0.0]</t>
  </si>
  <si>
    <t>42</t>
  </si>
  <si>
    <t>[-0.33, 0.23, -0.2, 0.2, -0.1, -0.08, 0.02, 0.0, 0.0, 0.0]</t>
  </si>
  <si>
    <t>kp</t>
    <phoneticPr fontId="2"/>
  </si>
  <si>
    <t>Xn</t>
    <phoneticPr fontId="2"/>
  </si>
  <si>
    <t>[M]0</t>
    <phoneticPr fontId="2"/>
  </si>
  <si>
    <t>[I]0</t>
    <phoneticPr fontId="2"/>
  </si>
  <si>
    <t>kd</t>
    <phoneticPr fontId="2"/>
  </si>
  <si>
    <t>kc</t>
    <phoneticPr fontId="2"/>
  </si>
  <si>
    <t>kt</t>
    <phoneticPr fontId="2"/>
  </si>
  <si>
    <t>K</t>
    <phoneticPr fontId="2"/>
  </si>
  <si>
    <t>u</t>
    <phoneticPr fontId="2"/>
  </si>
  <si>
    <t>erf(z)</t>
    <phoneticPr fontId="2"/>
  </si>
  <si>
    <t>nBA</t>
    <phoneticPr fontId="2"/>
  </si>
  <si>
    <t>St</t>
    <phoneticPr fontId="2"/>
  </si>
  <si>
    <t>z</t>
    <phoneticPr fontId="2"/>
  </si>
  <si>
    <t>erf(u)</t>
    <phoneticPr fontId="2"/>
  </si>
  <si>
    <t>three-term_８０％＿ｎBA</t>
    <phoneticPr fontId="2"/>
  </si>
  <si>
    <t>four-term_80%_nBA</t>
    <phoneticPr fontId="2"/>
  </si>
  <si>
    <t>Conversion</t>
    <phoneticPr fontId="2"/>
  </si>
  <si>
    <t>inner_R2_St</t>
    <phoneticPr fontId="2"/>
  </si>
  <si>
    <t>pred_y_St</t>
    <phoneticPr fontId="2"/>
  </si>
  <si>
    <t>observed_y_St</t>
    <phoneticPr fontId="2"/>
  </si>
  <si>
    <t>inner_R2_nBA</t>
    <phoneticPr fontId="2"/>
  </si>
  <si>
    <t>pred_y_nBA</t>
    <phoneticPr fontId="2"/>
  </si>
  <si>
    <t>observed_y_nBA</t>
    <phoneticPr fontId="2"/>
  </si>
  <si>
    <t>three-term_mugen_St</t>
    <phoneticPr fontId="2"/>
  </si>
  <si>
    <t>three-term_８０％_St</t>
    <phoneticPr fontId="2"/>
  </si>
  <si>
    <t>four-term_80%_St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</si>
</sst>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188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75956594402266"/>
          <c:y val="0.13871904800890078"/>
          <c:w val="0.78267132468607992"/>
          <c:h val="0.68445652129098833"/>
        </c:manualLayout>
      </c:layout>
      <c:scatterChart>
        <c:scatterStyle val="lineMarker"/>
        <c:varyColors val="0"/>
        <c:ser>
          <c:idx val="0"/>
          <c:order val="0"/>
          <c:tx>
            <c:v>this work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(compare_to_other!$D$2:$D$5,compare_to_other!$D$7:$D$9,compare_to_other!$D$12,compare_to_other!$D$17:$D$18)</c:f>
              <c:numCache>
                <c:formatCode>General</c:formatCode>
                <c:ptCount val="10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1.1399999999999999</c:v>
                </c:pt>
                <c:pt idx="8">
                  <c:v>1.65</c:v>
                </c:pt>
                <c:pt idx="9">
                  <c:v>1.25</c:v>
                </c:pt>
              </c:numCache>
            </c:numRef>
          </c:xVal>
          <c:yVal>
            <c:numRef>
              <c:f>(compare_to_other!$C$2:$C$5,compare_to_other!$C$7:$C$9,compare_to_other!$C$12,compare_to_other!$C$17:$C$18)</c:f>
              <c:numCache>
                <c:formatCode>General</c:formatCode>
                <c:ptCount val="10"/>
                <c:pt idx="0">
                  <c:v>1.182587400871614</c:v>
                </c:pt>
                <c:pt idx="1">
                  <c:v>1.114995361520484</c:v>
                </c:pt>
                <c:pt idx="2">
                  <c:v>1.403081180535849</c:v>
                </c:pt>
                <c:pt idx="3">
                  <c:v>1.2740371510831621</c:v>
                </c:pt>
                <c:pt idx="4">
                  <c:v>1.180109095661618</c:v>
                </c:pt>
                <c:pt idx="5">
                  <c:v>1.2966371061308879</c:v>
                </c:pt>
                <c:pt idx="6">
                  <c:v>1.3899013382602869</c:v>
                </c:pt>
                <c:pt idx="7">
                  <c:v>1.143857929286342</c:v>
                </c:pt>
                <c:pt idx="8">
                  <c:v>1.467944837839273</c:v>
                </c:pt>
                <c:pt idx="9">
                  <c:v>1.4021495343135479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369-4B45-9167-C809656EB2BE}"/>
            </c:ext>
          </c:extLst>
        </c:ser>
        <c:ser>
          <c:idx val="1"/>
          <c:order val="1"/>
          <c:tx>
            <c:v>three_term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(compare_to_other!$D$2:$D$5,compare_to_other!$D$7:$D$9,compare_to_other!$D$12,compare_to_other!$D$17:$D$18)</c:f>
              <c:numCache>
                <c:formatCode>General</c:formatCode>
                <c:ptCount val="10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1.1399999999999999</c:v>
                </c:pt>
                <c:pt idx="8">
                  <c:v>1.65</c:v>
                </c:pt>
                <c:pt idx="9">
                  <c:v>1.25</c:v>
                </c:pt>
              </c:numCache>
            </c:numRef>
          </c:xVal>
          <c:yVal>
            <c:numRef>
              <c:f>(compare_to_other!$L$2:$L$5,compare_to_other!$L$7:$L$9,compare_to_other!$L$12,compare_to_other!$L$17:$L$18)</c:f>
              <c:numCache>
                <c:formatCode>General</c:formatCode>
                <c:ptCount val="10"/>
                <c:pt idx="0">
                  <c:v>1.1318178657763023</c:v>
                </c:pt>
                <c:pt idx="1">
                  <c:v>1.0112727146310523</c:v>
                </c:pt>
                <c:pt idx="2">
                  <c:v>1.081302057705376</c:v>
                </c:pt>
                <c:pt idx="3">
                  <c:v>1.0193090580407356</c:v>
                </c:pt>
                <c:pt idx="4">
                  <c:v>1.0083562996839897</c:v>
                </c:pt>
                <c:pt idx="5">
                  <c:v>1.1395056942932187</c:v>
                </c:pt>
                <c:pt idx="6">
                  <c:v>1.1395056942932187</c:v>
                </c:pt>
                <c:pt idx="7">
                  <c:v>1.0304334408161768</c:v>
                </c:pt>
                <c:pt idx="8">
                  <c:v>1.1249687094612313</c:v>
                </c:pt>
                <c:pt idx="9">
                  <c:v>2.0107929262104181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369-4B45-9167-C809656EB2BE}"/>
            </c:ext>
          </c:extLst>
        </c:ser>
        <c:ser>
          <c:idx val="2"/>
          <c:order val="2"/>
          <c:tx>
            <c:v>four_term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(compare_to_other!$D$2:$D$5,compare_to_other!$D$7:$D$9,compare_to_other!$D$12,compare_to_other!$D$17:$D$18)</c:f>
              <c:numCache>
                <c:formatCode>General</c:formatCode>
                <c:ptCount val="10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1.1399999999999999</c:v>
                </c:pt>
                <c:pt idx="8">
                  <c:v>1.65</c:v>
                </c:pt>
                <c:pt idx="9">
                  <c:v>1.25</c:v>
                </c:pt>
              </c:numCache>
            </c:numRef>
          </c:xVal>
          <c:yVal>
            <c:numRef>
              <c:f>(compare_to_other!$O$2:$O$5,compare_to_other!$O$7:$O$9,compare_to_other!$O$12,compare_to_other!$O$17:$O$18)</c:f>
              <c:numCache>
                <c:formatCode>General</c:formatCode>
                <c:ptCount val="10"/>
                <c:pt idx="0">
                  <c:v>1.3476571351633002</c:v>
                </c:pt>
                <c:pt idx="1">
                  <c:v>1.0490694807229937</c:v>
                </c:pt>
                <c:pt idx="2">
                  <c:v>1.2225306037287849</c:v>
                </c:pt>
                <c:pt idx="3">
                  <c:v>1.0689753243523474</c:v>
                </c:pt>
                <c:pt idx="4">
                  <c:v>1.0418455858575024</c:v>
                </c:pt>
                <c:pt idx="5">
                  <c:v>1.3666997151658709</c:v>
                </c:pt>
                <c:pt idx="6">
                  <c:v>1.3666997151658709</c:v>
                </c:pt>
                <c:pt idx="7">
                  <c:v>1.0965301727096473</c:v>
                </c:pt>
                <c:pt idx="8">
                  <c:v>1.3306919275246465</c:v>
                </c:pt>
                <c:pt idx="9">
                  <c:v>3.5248587821238693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69-4B45-9167-C809656E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5240"/>
        <c:axId val="1116676680"/>
      </c:scatterChart>
      <c:valAx>
        <c:axId val="1116675240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observed_D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6676680"/>
        <c:crosses val="autoZero"/>
        <c:crossBetween val="midCat"/>
      </c:valAx>
      <c:valAx>
        <c:axId val="1116676680"/>
        <c:scaling>
          <c:orientation val="minMax"/>
          <c:max val="1.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predict_D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6675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76535425355095"/>
          <c:y val="0.15940543178015265"/>
          <c:w val="0.58131942865268138"/>
          <c:h val="6.183964236341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75956594402266"/>
          <c:y val="0.13871904800890078"/>
          <c:w val="0.78267132468607992"/>
          <c:h val="0.68445652129098833"/>
        </c:manualLayout>
      </c:layout>
      <c:scatterChart>
        <c:scatterStyle val="lineMarker"/>
        <c:varyColors val="0"/>
        <c:ser>
          <c:idx val="0"/>
          <c:order val="0"/>
          <c:tx>
            <c:v>this work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(compare_to_other!$D$2:$D$5,compare_to_other!$D$7:$D$9,compare_to_other!$D$12,compare_to_other!$D$17:$D$18)</c:f>
              <c:numCache>
                <c:formatCode>General</c:formatCode>
                <c:ptCount val="10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1.1399999999999999</c:v>
                </c:pt>
                <c:pt idx="8">
                  <c:v>1.65</c:v>
                </c:pt>
                <c:pt idx="9">
                  <c:v>1.25</c:v>
                </c:pt>
              </c:numCache>
            </c:numRef>
          </c:xVal>
          <c:yVal>
            <c:numRef>
              <c:f>(compare_to_other!$C$2:$C$5,compare_to_other!$C$7:$C$9,compare_to_other!$C$12,compare_to_other!$C$17:$C$18)</c:f>
              <c:numCache>
                <c:formatCode>General</c:formatCode>
                <c:ptCount val="10"/>
                <c:pt idx="0">
                  <c:v>1.182587400871614</c:v>
                </c:pt>
                <c:pt idx="1">
                  <c:v>1.114995361520484</c:v>
                </c:pt>
                <c:pt idx="2">
                  <c:v>1.403081180535849</c:v>
                </c:pt>
                <c:pt idx="3">
                  <c:v>1.2740371510831621</c:v>
                </c:pt>
                <c:pt idx="4">
                  <c:v>1.180109095661618</c:v>
                </c:pt>
                <c:pt idx="5">
                  <c:v>1.2966371061308879</c:v>
                </c:pt>
                <c:pt idx="6">
                  <c:v>1.3899013382602869</c:v>
                </c:pt>
                <c:pt idx="7">
                  <c:v>1.143857929286342</c:v>
                </c:pt>
                <c:pt idx="8">
                  <c:v>1.467944837839273</c:v>
                </c:pt>
                <c:pt idx="9">
                  <c:v>1.4021495343135479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369-4B45-9167-C809656EB2BE}"/>
            </c:ext>
          </c:extLst>
        </c:ser>
        <c:ser>
          <c:idx val="1"/>
          <c:order val="1"/>
          <c:tx>
            <c:v>three_term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(compare_to_other!$D$2:$D$5,compare_to_other!$D$7:$D$9,compare_to_other!$D$12,compare_to_other!$D$17:$D$18)</c:f>
              <c:numCache>
                <c:formatCode>General</c:formatCode>
                <c:ptCount val="10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1.1399999999999999</c:v>
                </c:pt>
                <c:pt idx="8">
                  <c:v>1.65</c:v>
                </c:pt>
                <c:pt idx="9">
                  <c:v>1.25</c:v>
                </c:pt>
              </c:numCache>
            </c:numRef>
          </c:xVal>
          <c:yVal>
            <c:numRef>
              <c:f>(compare_to_other!$L$2:$L$5,compare_to_other!$L$7:$L$9,compare_to_other!$L$12,compare_to_other!$L$17:$L$18)</c:f>
              <c:numCache>
                <c:formatCode>General</c:formatCode>
                <c:ptCount val="10"/>
                <c:pt idx="0">
                  <c:v>1.1318178657763023</c:v>
                </c:pt>
                <c:pt idx="1">
                  <c:v>1.0112727146310523</c:v>
                </c:pt>
                <c:pt idx="2">
                  <c:v>1.081302057705376</c:v>
                </c:pt>
                <c:pt idx="3">
                  <c:v>1.0193090580407356</c:v>
                </c:pt>
                <c:pt idx="4">
                  <c:v>1.0083562996839897</c:v>
                </c:pt>
                <c:pt idx="5">
                  <c:v>1.1395056942932187</c:v>
                </c:pt>
                <c:pt idx="6">
                  <c:v>1.1395056942932187</c:v>
                </c:pt>
                <c:pt idx="7">
                  <c:v>1.0304334408161768</c:v>
                </c:pt>
                <c:pt idx="8">
                  <c:v>1.1249687094612313</c:v>
                </c:pt>
                <c:pt idx="9">
                  <c:v>2.0107929262104181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369-4B45-9167-C809656EB2BE}"/>
            </c:ext>
          </c:extLst>
        </c:ser>
        <c:ser>
          <c:idx val="2"/>
          <c:order val="2"/>
          <c:tx>
            <c:v>four_term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(compare_to_other!$D$2:$D$5,compare_to_other!$D$7:$D$9,compare_to_other!$D$12,compare_to_other!$D$17:$D$18)</c:f>
              <c:numCache>
                <c:formatCode>General</c:formatCode>
                <c:ptCount val="10"/>
                <c:pt idx="0">
                  <c:v>1.1599999999999999</c:v>
                </c:pt>
                <c:pt idx="1">
                  <c:v>1.18</c:v>
                </c:pt>
                <c:pt idx="2">
                  <c:v>1.17</c:v>
                </c:pt>
                <c:pt idx="3">
                  <c:v>1.21</c:v>
                </c:pt>
                <c:pt idx="4">
                  <c:v>1.1399999999999999</c:v>
                </c:pt>
                <c:pt idx="5">
                  <c:v>1.71</c:v>
                </c:pt>
                <c:pt idx="6">
                  <c:v>1.49</c:v>
                </c:pt>
                <c:pt idx="7">
                  <c:v>1.1399999999999999</c:v>
                </c:pt>
                <c:pt idx="8">
                  <c:v>1.65</c:v>
                </c:pt>
                <c:pt idx="9">
                  <c:v>1.25</c:v>
                </c:pt>
              </c:numCache>
            </c:numRef>
          </c:xVal>
          <c:yVal>
            <c:numRef>
              <c:f>(compare_to_other!$O$2:$O$5,compare_to_other!$O$7:$O$9,compare_to_other!$O$12,compare_to_other!$O$17:$O$18)</c:f>
              <c:numCache>
                <c:formatCode>General</c:formatCode>
                <c:ptCount val="10"/>
                <c:pt idx="0">
                  <c:v>1.3476571351633002</c:v>
                </c:pt>
                <c:pt idx="1">
                  <c:v>1.0490694807229937</c:v>
                </c:pt>
                <c:pt idx="2">
                  <c:v>1.2225306037287849</c:v>
                </c:pt>
                <c:pt idx="3">
                  <c:v>1.0689753243523474</c:v>
                </c:pt>
                <c:pt idx="4">
                  <c:v>1.0418455858575024</c:v>
                </c:pt>
                <c:pt idx="5">
                  <c:v>1.3666997151658709</c:v>
                </c:pt>
                <c:pt idx="6">
                  <c:v>1.3666997151658709</c:v>
                </c:pt>
                <c:pt idx="7">
                  <c:v>1.0965301727096473</c:v>
                </c:pt>
                <c:pt idx="8">
                  <c:v>1.3306919275246465</c:v>
                </c:pt>
                <c:pt idx="9">
                  <c:v>3.5248587821238693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69-4B45-9167-C809656E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675240"/>
        <c:axId val="1116676680"/>
      </c:scatterChart>
      <c:valAx>
        <c:axId val="1116675240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observed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6676680"/>
        <c:crosses val="autoZero"/>
        <c:crossBetween val="midCat"/>
      </c:valAx>
      <c:valAx>
        <c:axId val="11166766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predict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6675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76535425355095"/>
          <c:y val="0.15940543178015265"/>
          <c:w val="0.58131942865268138"/>
          <c:h val="6.183964236341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124796</xdr:rowOff>
    </xdr:from>
    <xdr:to>
      <xdr:col>3</xdr:col>
      <xdr:colOff>1121520</xdr:colOff>
      <xdr:row>40</xdr:row>
      <xdr:rowOff>91458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77EDA0B-E18C-38FC-0093-5DA1D3A6F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437373</xdr:colOff>
      <xdr:row>20</xdr:row>
      <xdr:rowOff>124796</xdr:rowOff>
    </xdr:from>
    <xdr:to>
      <xdr:col>16</xdr:col>
      <xdr:colOff>1140959</xdr:colOff>
      <xdr:row>40</xdr:row>
      <xdr:rowOff>91458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7B4ED4D-3706-68BA-2C48-636A2ADC9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3.5" x14ac:dyDescent="0.15"/>
  <sheetData>
    <row r="1" spans="1: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1" t="s">
        <v>5</v>
      </c>
      <c r="B2">
        <v>0.98410333717078313</v>
      </c>
      <c r="C2">
        <v>2.109875883203594</v>
      </c>
      <c r="D2">
        <v>2.4500000000000002</v>
      </c>
      <c r="E2" t="s">
        <v>6</v>
      </c>
      <c r="F2" t="s">
        <v>7</v>
      </c>
    </row>
    <row r="3" spans="1:6" x14ac:dyDescent="0.15">
      <c r="A3" s="1" t="s">
        <v>8</v>
      </c>
      <c r="B3">
        <v>0.98713901896718281</v>
      </c>
      <c r="C3">
        <v>1.9522668192189849</v>
      </c>
      <c r="D3">
        <v>1.8</v>
      </c>
      <c r="E3" t="s">
        <v>9</v>
      </c>
      <c r="F3" t="s">
        <v>10</v>
      </c>
    </row>
    <row r="4" spans="1:6" x14ac:dyDescent="0.15">
      <c r="A4" s="1" t="s">
        <v>11</v>
      </c>
      <c r="B4">
        <v>0.99063079376729213</v>
      </c>
      <c r="C4">
        <v>2.280801315400947</v>
      </c>
      <c r="D4">
        <v>2.0499999999999998</v>
      </c>
      <c r="E4" t="s">
        <v>12</v>
      </c>
      <c r="F4" t="s">
        <v>13</v>
      </c>
    </row>
    <row r="5" spans="1:6" x14ac:dyDescent="0.15">
      <c r="A5" s="1" t="s">
        <v>14</v>
      </c>
      <c r="B5">
        <v>0.9848593083497017</v>
      </c>
      <c r="C5">
        <v>1.97090545098718</v>
      </c>
      <c r="D5">
        <v>1.9</v>
      </c>
      <c r="E5" t="s">
        <v>15</v>
      </c>
      <c r="F5" t="s">
        <v>16</v>
      </c>
    </row>
    <row r="6" spans="1:6" x14ac:dyDescent="0.15">
      <c r="A6" s="1" t="s">
        <v>17</v>
      </c>
      <c r="B6">
        <v>0.9819400718969683</v>
      </c>
      <c r="C6">
        <v>1.868067494414386</v>
      </c>
      <c r="D6">
        <v>1.75</v>
      </c>
      <c r="E6" t="s">
        <v>18</v>
      </c>
      <c r="F6" t="s">
        <v>19</v>
      </c>
    </row>
    <row r="7" spans="1:6" x14ac:dyDescent="0.15">
      <c r="A7" s="1" t="s">
        <v>20</v>
      </c>
      <c r="B7">
        <v>0.96597020110509058</v>
      </c>
      <c r="C7">
        <v>1.523956740835017</v>
      </c>
      <c r="D7">
        <v>1.44</v>
      </c>
      <c r="E7" t="s">
        <v>21</v>
      </c>
      <c r="F7" t="s">
        <v>22</v>
      </c>
    </row>
    <row r="8" spans="1:6" x14ac:dyDescent="0.15">
      <c r="A8" s="1" t="s">
        <v>23</v>
      </c>
      <c r="B8">
        <v>0.98351837215833238</v>
      </c>
      <c r="C8">
        <v>2.4858293654278572</v>
      </c>
      <c r="D8">
        <v>2.52</v>
      </c>
      <c r="E8" t="s">
        <v>24</v>
      </c>
      <c r="F8" t="s">
        <v>25</v>
      </c>
    </row>
    <row r="9" spans="1:6" x14ac:dyDescent="0.15">
      <c r="A9" s="1" t="s">
        <v>26</v>
      </c>
      <c r="B9">
        <v>0.96566492199499621</v>
      </c>
      <c r="C9">
        <v>2.9977002791927858</v>
      </c>
      <c r="D9">
        <v>2.25</v>
      </c>
      <c r="E9" t="s">
        <v>27</v>
      </c>
      <c r="F9" t="s">
        <v>28</v>
      </c>
    </row>
    <row r="10" spans="1:6" x14ac:dyDescent="0.15">
      <c r="A10" s="1" t="s">
        <v>29</v>
      </c>
      <c r="B10">
        <v>0.979635473737413</v>
      </c>
      <c r="C10">
        <v>1.6804842170438641</v>
      </c>
      <c r="D10">
        <v>1.75</v>
      </c>
      <c r="E10" t="s">
        <v>30</v>
      </c>
      <c r="F10" t="s">
        <v>31</v>
      </c>
    </row>
    <row r="11" spans="1:6" x14ac:dyDescent="0.15">
      <c r="A11" s="1" t="s">
        <v>32</v>
      </c>
      <c r="B11">
        <v>0.95397641826312607</v>
      </c>
      <c r="C11">
        <v>3.5296230488378249</v>
      </c>
      <c r="D11">
        <v>3.81</v>
      </c>
      <c r="E11" t="s">
        <v>33</v>
      </c>
      <c r="F11" t="s">
        <v>34</v>
      </c>
    </row>
    <row r="12" spans="1:6" x14ac:dyDescent="0.15">
      <c r="A12" s="1" t="s">
        <v>35</v>
      </c>
      <c r="B12">
        <v>0.97887152044886383</v>
      </c>
      <c r="C12">
        <v>1.3218919777066569</v>
      </c>
      <c r="D12">
        <v>1.4</v>
      </c>
      <c r="E12" t="s">
        <v>36</v>
      </c>
      <c r="F12" t="s">
        <v>37</v>
      </c>
    </row>
    <row r="13" spans="1:6" x14ac:dyDescent="0.15">
      <c r="A13" s="1" t="s">
        <v>38</v>
      </c>
      <c r="B13">
        <v>0.92361170753395494</v>
      </c>
      <c r="C13">
        <v>1.530763564473953</v>
      </c>
      <c r="D13">
        <v>1.45</v>
      </c>
      <c r="E13" t="s">
        <v>39</v>
      </c>
      <c r="F13" t="s">
        <v>40</v>
      </c>
    </row>
    <row r="14" spans="1:6" x14ac:dyDescent="0.15">
      <c r="A14" s="1" t="s">
        <v>41</v>
      </c>
      <c r="B14">
        <v>0.98364079668816118</v>
      </c>
      <c r="C14">
        <v>1.4484162808073471</v>
      </c>
      <c r="D14">
        <v>1.55</v>
      </c>
      <c r="E14" t="s">
        <v>42</v>
      </c>
      <c r="F14" t="s">
        <v>43</v>
      </c>
    </row>
    <row r="15" spans="1:6" x14ac:dyDescent="0.15">
      <c r="A15" s="1" t="s">
        <v>44</v>
      </c>
      <c r="B15">
        <v>0.98694922730921231</v>
      </c>
      <c r="C15">
        <v>1.558982504644606</v>
      </c>
      <c r="D15">
        <v>1.5</v>
      </c>
      <c r="E15" t="s">
        <v>45</v>
      </c>
      <c r="F15" t="s">
        <v>46</v>
      </c>
    </row>
    <row r="16" spans="1:6" x14ac:dyDescent="0.15">
      <c r="A16" s="1" t="s">
        <v>47</v>
      </c>
      <c r="B16">
        <v>0.98738763276001806</v>
      </c>
      <c r="C16">
        <v>1.973346674219657</v>
      </c>
      <c r="D16">
        <v>1.55</v>
      </c>
      <c r="E16" t="s">
        <v>48</v>
      </c>
      <c r="F16" t="s">
        <v>49</v>
      </c>
    </row>
    <row r="17" spans="1:6" x14ac:dyDescent="0.15">
      <c r="A17" s="1" t="s">
        <v>50</v>
      </c>
      <c r="B17">
        <v>0.90297963536522652</v>
      </c>
      <c r="C17">
        <v>3.093327735308832</v>
      </c>
      <c r="D17">
        <v>2.8</v>
      </c>
      <c r="E17" t="s">
        <v>51</v>
      </c>
      <c r="F17" t="s">
        <v>52</v>
      </c>
    </row>
    <row r="18" spans="1:6" x14ac:dyDescent="0.15">
      <c r="A18" s="1" t="s">
        <v>53</v>
      </c>
      <c r="B18">
        <v>0.98291628222918892</v>
      </c>
      <c r="C18">
        <v>2.1436462898395749</v>
      </c>
      <c r="D18">
        <v>1.95</v>
      </c>
      <c r="E18" t="s">
        <v>54</v>
      </c>
      <c r="F18" t="s">
        <v>55</v>
      </c>
    </row>
    <row r="19" spans="1:6" x14ac:dyDescent="0.15">
      <c r="A19" s="1" t="s">
        <v>56</v>
      </c>
      <c r="B19">
        <v>0.97722615687660885</v>
      </c>
      <c r="C19">
        <v>1.6102326701190359</v>
      </c>
      <c r="D19">
        <v>1.7</v>
      </c>
      <c r="E19" t="s">
        <v>18</v>
      </c>
      <c r="F19" t="s">
        <v>57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E33E-31DA-4C50-ACE4-FB882CD310AF}">
  <dimension ref="A1:Q35"/>
  <sheetViews>
    <sheetView tabSelected="1" topLeftCell="D1" zoomScale="98" workbookViewId="0">
      <selection activeCell="P21" sqref="P21"/>
    </sheetView>
  </sheetViews>
  <sheetFormatPr defaultRowHeight="13.5" x14ac:dyDescent="0.15"/>
  <cols>
    <col min="2" max="3" width="12.75" bestFit="1" customWidth="1"/>
    <col min="4" max="4" width="14.875" bestFit="1" customWidth="1"/>
    <col min="5" max="5" width="14.875" customWidth="1"/>
    <col min="6" max="6" width="14.375" bestFit="1" customWidth="1"/>
    <col min="7" max="7" width="12.75" bestFit="1" customWidth="1"/>
    <col min="8" max="8" width="16.75" bestFit="1" customWidth="1"/>
    <col min="9" max="9" width="9.5" bestFit="1" customWidth="1"/>
    <col min="10" max="10" width="12.75" bestFit="1" customWidth="1"/>
    <col min="11" max="11" width="22.5" bestFit="1" customWidth="1"/>
    <col min="12" max="12" width="21.25" bestFit="1" customWidth="1"/>
    <col min="13" max="13" width="21.25" customWidth="1"/>
    <col min="14" max="14" width="24.625" bestFit="1" customWidth="1"/>
    <col min="15" max="15" width="15.375" bestFit="1" customWidth="1"/>
    <col min="16" max="16" width="15.375" customWidth="1"/>
    <col min="17" max="17" width="20.375" bestFit="1" customWidth="1"/>
  </cols>
  <sheetData>
    <row r="1" spans="1:17" x14ac:dyDescent="0.15">
      <c r="B1" s="1" t="s">
        <v>75</v>
      </c>
      <c r="C1" s="1" t="s">
        <v>76</v>
      </c>
      <c r="D1" s="1" t="s">
        <v>77</v>
      </c>
      <c r="E1" s="1"/>
      <c r="F1" s="1" t="s">
        <v>78</v>
      </c>
      <c r="G1" s="1" t="s">
        <v>79</v>
      </c>
      <c r="H1" s="1" t="s">
        <v>80</v>
      </c>
      <c r="I1" s="3" t="s">
        <v>62</v>
      </c>
      <c r="J1" s="3" t="s">
        <v>63</v>
      </c>
      <c r="K1" s="2" t="s">
        <v>81</v>
      </c>
      <c r="L1" s="2" t="s">
        <v>82</v>
      </c>
      <c r="M1" s="2"/>
      <c r="N1" s="2" t="s">
        <v>72</v>
      </c>
      <c r="O1" s="2" t="s">
        <v>83</v>
      </c>
      <c r="P1" s="2"/>
      <c r="Q1" s="2" t="s">
        <v>73</v>
      </c>
    </row>
    <row r="2" spans="1:17" x14ac:dyDescent="0.15">
      <c r="A2" s="1" t="s">
        <v>5</v>
      </c>
      <c r="B2">
        <v>0.58696000317298458</v>
      </c>
      <c r="C2">
        <v>1.182587400871614</v>
      </c>
      <c r="D2">
        <v>1.1599999999999999</v>
      </c>
      <c r="E2">
        <f>ABS(C2-D2)</f>
        <v>2.2587400871614038E-2</v>
      </c>
      <c r="F2">
        <v>0.98410333717078313</v>
      </c>
      <c r="G2">
        <v>2.109875883203594</v>
      </c>
      <c r="H2">
        <v>2.4500000000000002</v>
      </c>
      <c r="I2">
        <v>5.1999999999999995E-4</v>
      </c>
      <c r="J2" s="4">
        <f t="shared" ref="J2:J3" si="0">I2/$J$29</f>
        <v>519999.99999999994</v>
      </c>
      <c r="K2">
        <f t="shared" ref="K2:K3" si="1">1+(1/$J$25)+SQRT((PI()*$J$27^3*$J$26)/(I2*J2*$J$28))</f>
        <v>1.3158549794667902</v>
      </c>
      <c r="L2">
        <f t="shared" ref="L2:L3" si="2">1+(1/$J$24)+($J$25^2/($J$24^2*$J$26^2))*SQRT(PI()*$J$27^3*$J$26/(I2*J2*$J$28)*$J$31)</f>
        <v>1.1318178657763023</v>
      </c>
      <c r="M2">
        <f>ABS(L2-C2)</f>
        <v>5.076953509531168E-2</v>
      </c>
      <c r="N2">
        <f t="shared" ref="N2:N3" si="3">1+(1/$K$24)+($K$25^2/($K$24^2*$K$26^2))*SQRT(PI()*$K$27^3*$K$26/(I2*J2*$K$28)*$K$31)</f>
        <v>1.1164861647027591</v>
      </c>
      <c r="O2">
        <f t="shared" ref="O2:O3" si="4">1+(1/$J$24)+SQRT(PI()*$J$27^3*$J$26/($J$28*I2*J2))*($J$33/$L$35^2)+SQRT($J$28*I2/($J$27*J2*$J$26))*$J$32/2</f>
        <v>1.3476571351633002</v>
      </c>
      <c r="P2">
        <f>ABS(O2-D2)</f>
        <v>0.18765713516330029</v>
      </c>
      <c r="Q2">
        <f t="shared" ref="Q2:Q3" si="5">1+(1/$K$24)+SQRT(PI()*$K$27^3*$K$26/($K$28*I2*J2))*($K$33/0.8^2)+SQRT($K$28*I2/($K$27*$J$4*$K$26))*K30/2</f>
        <v>1.2869141931255954</v>
      </c>
    </row>
    <row r="3" spans="1:17" x14ac:dyDescent="0.15">
      <c r="A3" s="1" t="s">
        <v>8</v>
      </c>
      <c r="B3">
        <v>0.59448439311931234</v>
      </c>
      <c r="C3">
        <v>1.114995361520484</v>
      </c>
      <c r="D3">
        <v>1.18</v>
      </c>
      <c r="E3">
        <f t="shared" ref="E3:E19" si="6">ABS(C3-D3)</f>
        <v>6.5004638479515986E-2</v>
      </c>
      <c r="F3">
        <v>0.98713901896718281</v>
      </c>
      <c r="G3">
        <v>1.9522668192189849</v>
      </c>
      <c r="H3">
        <v>1.8</v>
      </c>
      <c r="I3">
        <v>1.2999999999999999E-2</v>
      </c>
      <c r="J3" s="4">
        <f t="shared" si="0"/>
        <v>12999999.999999998</v>
      </c>
      <c r="K3">
        <f t="shared" si="1"/>
        <v>1.1225998349175033</v>
      </c>
      <c r="L3">
        <f t="shared" si="2"/>
        <v>1.0112727146310523</v>
      </c>
      <c r="M3">
        <f t="shared" ref="M3:M19" si="7">ABS(L3-C3)</f>
        <v>0.10372264688943167</v>
      </c>
      <c r="N3">
        <f t="shared" si="3"/>
        <v>1.0106594465881105</v>
      </c>
      <c r="O3">
        <f t="shared" si="4"/>
        <v>1.0490694807229937</v>
      </c>
      <c r="P3">
        <f t="shared" ref="P3:P19" si="8">ABS(O3-D3)</f>
        <v>0.13093051927700627</v>
      </c>
      <c r="Q3">
        <f t="shared" si="5"/>
        <v>1.0285742085752576</v>
      </c>
    </row>
    <row r="4" spans="1:17" x14ac:dyDescent="0.15">
      <c r="A4" s="1" t="s">
        <v>11</v>
      </c>
      <c r="B4">
        <v>0.7005218884667157</v>
      </c>
      <c r="C4">
        <v>1.403081180535849</v>
      </c>
      <c r="D4">
        <v>1.17</v>
      </c>
      <c r="E4">
        <f t="shared" si="6"/>
        <v>0.23308118053584903</v>
      </c>
      <c r="F4">
        <v>0.99063079376729213</v>
      </c>
      <c r="G4">
        <v>2.280801315400947</v>
      </c>
      <c r="H4">
        <v>2.0499999999999998</v>
      </c>
      <c r="I4">
        <v>8.7000000000000001E-4</v>
      </c>
      <c r="J4" s="4">
        <f>I4/$J$29</f>
        <v>870000</v>
      </c>
      <c r="K4">
        <f>1+(1/$J$25)+SQRT((PI()*$J$27^3*$J$26)/(I4*J4*$J$28))</f>
        <v>1.2348692268419692</v>
      </c>
      <c r="L4">
        <f>1+(1/$J$24)+($J$25^2/($J$24^2*$J$26^2))*SQRT(PI()*$J$27^3*$J$26/(I4*J4*$J$28)*$J$31)</f>
        <v>1.081302057705376</v>
      </c>
      <c r="M4">
        <f t="shared" si="7"/>
        <v>0.32177912283047294</v>
      </c>
      <c r="N4">
        <f>1+(1/$K$24)+($K$25^2/($K$24^2*$K$26^2))*SQRT(PI()*$K$27^3*$K$26/(I4*J4*$K$28)*$K$31)</f>
        <v>1.0721382823510743</v>
      </c>
      <c r="O4">
        <f>1+(1/$J$24)+SQRT(PI()*$J$27^3*$J$26/($J$28*I4*J4))*($J$33/$L$35^2)+SQRT($J$28*I4/($J$27*J4*$J$26))*$J$32/2</f>
        <v>1.2225306037287849</v>
      </c>
      <c r="P4">
        <f t="shared" si="8"/>
        <v>5.253060372878493E-2</v>
      </c>
      <c r="Q4">
        <f>1+(1/$K$24)+SQRT(PI()*$K$27^3*$K$26/($K$28*I4*J4))*($K$33/0.8^2)+SQRT($K$28*I4/($K$27*$J$4*$K$26))*K32/2</f>
        <v>1.2067175593386241</v>
      </c>
    </row>
    <row r="5" spans="1:17" x14ac:dyDescent="0.15">
      <c r="A5" s="1" t="s">
        <v>14</v>
      </c>
      <c r="B5">
        <v>0.61048214468358986</v>
      </c>
      <c r="C5">
        <v>1.2740371510831621</v>
      </c>
      <c r="D5">
        <v>1.21</v>
      </c>
      <c r="E5">
        <f t="shared" si="6"/>
        <v>6.4037151083162103E-2</v>
      </c>
      <c r="F5">
        <v>0.9848593083497017</v>
      </c>
      <c r="G5">
        <v>1.97090545098718</v>
      </c>
      <c r="H5">
        <v>1.9</v>
      </c>
      <c r="I5">
        <v>5.0000000000000001E-3</v>
      </c>
      <c r="J5" s="4">
        <f>I5/$J$29</f>
        <v>5000000</v>
      </c>
      <c r="K5">
        <f>1+(1/$J$25)+SQRT((PI()*$J$27^3*$J$26)/(I5*J5*$J$28))</f>
        <v>1.1354835112207891</v>
      </c>
      <c r="L5">
        <f t="shared" ref="L5:L19" si="9">1+(1/$J$24)+($J$25^2/($J$24^2*$J$26^2))*SQRT(PI()*$J$27^3*$J$26/(I5*J5*$J$28)*$J$31)</f>
        <v>1.0193090580407356</v>
      </c>
      <c r="M5">
        <f t="shared" si="7"/>
        <v>0.2547280930424265</v>
      </c>
      <c r="N5">
        <f>1+(1/$K$24)+($K$25^2/($K$24^2*$K$26^2))*SQRT(PI()*$K$27^3*$K$26/(I5*J5*$K$28)*$K$31)</f>
        <v>1.017714561129087</v>
      </c>
      <c r="O5">
        <f t="shared" ref="O5:O19" si="10">1+(1/$J$24)+SQRT(PI()*$J$27^3*$J$26/($J$28*I5*J5))*($J$33/$L$35^2)+SQRT($J$28*I5/($J$27*J5*$J$26))*$J$32/2</f>
        <v>1.0689753243523474</v>
      </c>
      <c r="P5">
        <f t="shared" si="8"/>
        <v>0.14102467564765253</v>
      </c>
      <c r="Q5">
        <f t="shared" ref="Q5:Q19" si="11">1+(1/$K$24)+SQRT(PI()*$K$27^3*$K$26/($K$28*I5*J5))*($K$33/0.8^2)+SQRT($K$28*I5/($K$27*$J$4*$K$26))*K33/2</f>
        <v>1.0800306343264392</v>
      </c>
    </row>
    <row r="6" spans="1:17" x14ac:dyDescent="0.15">
      <c r="A6" s="1" t="s">
        <v>17</v>
      </c>
      <c r="B6">
        <v>0.58068147473114495</v>
      </c>
      <c r="C6">
        <v>1.176612531458274</v>
      </c>
      <c r="D6">
        <v>1.2</v>
      </c>
      <c r="E6">
        <f t="shared" si="6"/>
        <v>2.3387468541725909E-2</v>
      </c>
      <c r="F6">
        <v>0.9819400718969683</v>
      </c>
      <c r="G6">
        <v>1.868067494414386</v>
      </c>
      <c r="H6">
        <v>1.75</v>
      </c>
      <c r="J6" s="4">
        <f>I6/$J$29</f>
        <v>0</v>
      </c>
      <c r="K6" t="e">
        <f>1+(1/$J$25)+SQRT((PI()*$J$27^3*$J$26)/(I6*J6*$J$28))</f>
        <v>#DIV/0!</v>
      </c>
      <c r="L6" t="e">
        <f t="shared" si="9"/>
        <v>#DIV/0!</v>
      </c>
      <c r="M6" t="e">
        <f t="shared" si="7"/>
        <v>#DIV/0!</v>
      </c>
      <c r="N6" t="e">
        <f>1+(1/$K$24)+($K$25^2/($K$24^2*$K$26^2))*SQRT(PI()*$K$27^3*$K$26/(I6*J6*$K$28)*$K$31)</f>
        <v>#DIV/0!</v>
      </c>
      <c r="O6" t="e">
        <f t="shared" si="10"/>
        <v>#DIV/0!</v>
      </c>
      <c r="P6" t="e">
        <f t="shared" si="8"/>
        <v>#DIV/0!</v>
      </c>
      <c r="Q6" t="e">
        <f t="shared" si="11"/>
        <v>#DIV/0!</v>
      </c>
    </row>
    <row r="7" spans="1:17" x14ac:dyDescent="0.15">
      <c r="A7" s="1" t="s">
        <v>20</v>
      </c>
      <c r="B7">
        <v>0.57869834473295323</v>
      </c>
      <c r="C7">
        <v>1.180109095661618</v>
      </c>
      <c r="D7">
        <v>1.1399999999999999</v>
      </c>
      <c r="E7">
        <f t="shared" si="6"/>
        <v>4.0109095661618133E-2</v>
      </c>
      <c r="F7">
        <v>0.96597020110509058</v>
      </c>
      <c r="G7">
        <v>1.523956740835017</v>
      </c>
      <c r="H7">
        <v>1.44</v>
      </c>
      <c r="I7">
        <v>3.1E-2</v>
      </c>
      <c r="J7" s="4">
        <f>I7/$J$29</f>
        <v>30999999.999999996</v>
      </c>
      <c r="K7">
        <f>1+(1/$J$25)+SQRT((PI()*$J$27^3*$J$26)/(I7*J7*$J$28))</f>
        <v>1.1179243072267948</v>
      </c>
      <c r="L7">
        <f t="shared" si="9"/>
        <v>1.0083562996839897</v>
      </c>
      <c r="M7">
        <f t="shared" si="7"/>
        <v>0.17175279597762838</v>
      </c>
      <c r="N7">
        <f>1+(1/$K$24)+($K$25^2/($K$24^2*$K$26^2))*SQRT(PI()*$K$27^3*$K$26/(I7*J7*$K$28)*$K$31)</f>
        <v>1.008099122762756</v>
      </c>
      <c r="O7">
        <f t="shared" si="10"/>
        <v>1.0418455858575024</v>
      </c>
      <c r="P7">
        <f t="shared" si="8"/>
        <v>9.8154414142497481E-2</v>
      </c>
      <c r="Q7" t="e">
        <f t="shared" si="11"/>
        <v>#VALUE!</v>
      </c>
    </row>
    <row r="8" spans="1:17" x14ac:dyDescent="0.15">
      <c r="A8" s="1" t="s">
        <v>23</v>
      </c>
      <c r="B8">
        <v>0.67411896319886055</v>
      </c>
      <c r="C8">
        <v>1.2966371061308879</v>
      </c>
      <c r="D8">
        <v>1.71</v>
      </c>
      <c r="E8">
        <f t="shared" si="6"/>
        <v>0.41336289386911207</v>
      </c>
      <c r="F8">
        <v>0.98351837215833238</v>
      </c>
      <c r="G8">
        <v>2.4858293654278572</v>
      </c>
      <c r="H8">
        <v>2.52</v>
      </c>
      <c r="I8">
        <v>4.8999999999999998E-4</v>
      </c>
      <c r="J8" s="4">
        <f>I8/$J$29</f>
        <v>489999.99999999994</v>
      </c>
      <c r="K8">
        <f>1+(1/$J$25)+SQRT((PI()*$J$27^3*$J$26)/(I8*J8*$J$28))</f>
        <v>1.3281799249099844</v>
      </c>
      <c r="L8">
        <f t="shared" si="9"/>
        <v>1.1395056942932187</v>
      </c>
      <c r="M8">
        <f t="shared" si="7"/>
        <v>0.15713141183766921</v>
      </c>
      <c r="N8">
        <f>1+(1/$K$24)+($K$25^2/($K$24^2*$K$26^2))*SQRT(PI()*$K$27^3*$K$26/(I8*J8*$K$28)*$K$31)</f>
        <v>1.1232353176437444</v>
      </c>
      <c r="O8">
        <f t="shared" si="10"/>
        <v>1.3666997151658709</v>
      </c>
      <c r="P8">
        <f t="shared" si="8"/>
        <v>0.34330028483412911</v>
      </c>
      <c r="Q8">
        <f t="shared" si="11"/>
        <v>1.3019822280712525</v>
      </c>
    </row>
    <row r="9" spans="1:17" x14ac:dyDescent="0.15">
      <c r="A9" s="1" t="s">
        <v>26</v>
      </c>
      <c r="B9">
        <v>0.55315954009844925</v>
      </c>
      <c r="C9">
        <v>1.3899013382602869</v>
      </c>
      <c r="D9">
        <v>1.49</v>
      </c>
      <c r="E9">
        <f t="shared" si="6"/>
        <v>0.10009866173971305</v>
      </c>
      <c r="F9">
        <v>0.96566492199499621</v>
      </c>
      <c r="G9">
        <v>2.9977002791927858</v>
      </c>
      <c r="H9">
        <v>2.25</v>
      </c>
      <c r="I9">
        <v>4.8999999999999998E-4</v>
      </c>
      <c r="J9" s="4">
        <f>I9/$J$29</f>
        <v>489999.99999999994</v>
      </c>
      <c r="K9">
        <f>1+(1/$J$25)+SQRT((PI()*$J$27^3*$J$26)/(I9*J9*$J$28))</f>
        <v>1.3281799249099844</v>
      </c>
      <c r="L9">
        <f t="shared" si="9"/>
        <v>1.1395056942932187</v>
      </c>
      <c r="M9">
        <f t="shared" si="7"/>
        <v>0.25039564396706826</v>
      </c>
      <c r="N9">
        <f>1+(1/$K$24)+($K$25^2/($K$24^2*$K$26^2))*SQRT(PI()*$K$27^3*$K$26/(I9*J9*$K$28)*$K$31)</f>
        <v>1.1232353176437444</v>
      </c>
      <c r="O9">
        <f t="shared" si="10"/>
        <v>1.3666997151658709</v>
      </c>
      <c r="P9">
        <f t="shared" si="8"/>
        <v>0.12330028483412914</v>
      </c>
      <c r="Q9">
        <f t="shared" si="11"/>
        <v>1.3019822280712525</v>
      </c>
    </row>
    <row r="10" spans="1:17" x14ac:dyDescent="0.15">
      <c r="A10" s="1" t="s">
        <v>29</v>
      </c>
      <c r="B10">
        <v>0.71467190612595544</v>
      </c>
      <c r="C10">
        <v>1.166746744811447</v>
      </c>
      <c r="D10">
        <v>1.39</v>
      </c>
      <c r="E10">
        <f t="shared" si="6"/>
        <v>0.22325325518855288</v>
      </c>
      <c r="F10">
        <v>0.979635473737413</v>
      </c>
      <c r="G10">
        <v>1.6804842170438641</v>
      </c>
      <c r="H10">
        <v>1.75</v>
      </c>
      <c r="J10" s="4">
        <f>I10/$J$29</f>
        <v>0</v>
      </c>
      <c r="K10" t="e">
        <f>1+(1/$J$25)+SQRT((PI()*$J$27^3*$J$26)/(I10*J10*$J$28))</f>
        <v>#DIV/0!</v>
      </c>
      <c r="L10" t="e">
        <f t="shared" si="9"/>
        <v>#DIV/0!</v>
      </c>
      <c r="M10" t="e">
        <f t="shared" si="7"/>
        <v>#DIV/0!</v>
      </c>
      <c r="N10" t="e">
        <f>1+(1/$K$24)+($K$25^2/($K$24^2*$K$26^2))*SQRT(PI()*$K$27^3*$K$26/(I10*J10*$K$28)*$K$31)</f>
        <v>#DIV/0!</v>
      </c>
      <c r="O10" t="e">
        <f t="shared" si="10"/>
        <v>#DIV/0!</v>
      </c>
      <c r="P10" t="e">
        <f t="shared" si="8"/>
        <v>#DIV/0!</v>
      </c>
      <c r="Q10" t="e">
        <f t="shared" si="11"/>
        <v>#DIV/0!</v>
      </c>
    </row>
    <row r="11" spans="1:17" x14ac:dyDescent="0.15">
      <c r="A11" s="1" t="s">
        <v>32</v>
      </c>
      <c r="B11">
        <v>0.46474334272361623</v>
      </c>
      <c r="C11">
        <v>1.5085476086265981</v>
      </c>
      <c r="D11">
        <v>1.72</v>
      </c>
      <c r="E11">
        <f t="shared" si="6"/>
        <v>0.21145239137340188</v>
      </c>
      <c r="F11">
        <v>0.95397641826312607</v>
      </c>
      <c r="G11">
        <v>3.5296230488378249</v>
      </c>
      <c r="H11">
        <v>3.81</v>
      </c>
      <c r="J11" s="4">
        <f>I11/$J$29</f>
        <v>0</v>
      </c>
      <c r="K11" t="e">
        <f>1+(1/$J$25)+SQRT((PI()*$J$27^3*$J$26)/(I11*J11*$J$28))</f>
        <v>#DIV/0!</v>
      </c>
      <c r="L11" t="e">
        <f t="shared" si="9"/>
        <v>#DIV/0!</v>
      </c>
      <c r="M11" t="e">
        <f t="shared" si="7"/>
        <v>#DIV/0!</v>
      </c>
      <c r="N11" t="e">
        <f>1+(1/$K$24)+($K$25^2/($K$24^2*$K$26^2))*SQRT(PI()*$K$27^3*$K$26/(I11*J11*$K$28)*$K$31)</f>
        <v>#DIV/0!</v>
      </c>
      <c r="O11" t="e">
        <f t="shared" si="10"/>
        <v>#DIV/0!</v>
      </c>
      <c r="P11" t="e">
        <f t="shared" si="8"/>
        <v>#DIV/0!</v>
      </c>
      <c r="Q11" t="e">
        <f t="shared" si="11"/>
        <v>#DIV/0!</v>
      </c>
    </row>
    <row r="12" spans="1:17" x14ac:dyDescent="0.15">
      <c r="A12" s="1" t="s">
        <v>35</v>
      </c>
      <c r="B12">
        <v>0.57109879566163002</v>
      </c>
      <c r="C12">
        <v>1.143857929286342</v>
      </c>
      <c r="D12">
        <v>1.1399999999999999</v>
      </c>
      <c r="E12">
        <f t="shared" si="6"/>
        <v>3.8579292863420989E-3</v>
      </c>
      <c r="F12">
        <v>0.97887152044886383</v>
      </c>
      <c r="G12">
        <v>1.3218919777066569</v>
      </c>
      <c r="H12">
        <v>1.4</v>
      </c>
      <c r="I12">
        <v>2.7000000000000001E-3</v>
      </c>
      <c r="J12" s="4">
        <f>I12/$J$29</f>
        <v>2700000</v>
      </c>
      <c r="K12">
        <f>1+(1/$J$25)+SQRT((PI()*$J$27^3*$J$26)/(I12*J12*$J$28))</f>
        <v>1.1533178594369116</v>
      </c>
      <c r="L12">
        <f t="shared" si="9"/>
        <v>1.0304334408161768</v>
      </c>
      <c r="M12">
        <f t="shared" si="7"/>
        <v>0.11342448847016517</v>
      </c>
      <c r="N12">
        <f>1+(1/$K$24)+($K$25^2/($K$24^2*$K$26^2))*SQRT(PI()*$K$27^3*$K$26/(I12*J12*$K$28)*$K$31)</f>
        <v>1.0274806687575684</v>
      </c>
      <c r="O12">
        <f t="shared" si="10"/>
        <v>1.0965301727096473</v>
      </c>
      <c r="P12">
        <f t="shared" si="8"/>
        <v>4.3469827290352647E-2</v>
      </c>
      <c r="Q12">
        <f t="shared" si="11"/>
        <v>1.0599199228721903</v>
      </c>
    </row>
    <row r="13" spans="1:17" x14ac:dyDescent="0.15">
      <c r="A13" s="1" t="s">
        <v>38</v>
      </c>
      <c r="B13">
        <v>0.57829255379014288</v>
      </c>
      <c r="C13">
        <v>1.1705555745615199</v>
      </c>
      <c r="D13">
        <v>1.1499999999999999</v>
      </c>
      <c r="E13">
        <f t="shared" si="6"/>
        <v>2.0555574561520018E-2</v>
      </c>
      <c r="F13">
        <v>0.92361170753395494</v>
      </c>
      <c r="G13">
        <v>1.530763564473953</v>
      </c>
      <c r="H13">
        <v>1.45</v>
      </c>
      <c r="J13" s="4">
        <f>I13/$J$29</f>
        <v>0</v>
      </c>
      <c r="K13" t="e">
        <f>1+(1/$J$25)+SQRT((PI()*$J$27^3*$J$26)/(I13*J13*$J$28))</f>
        <v>#DIV/0!</v>
      </c>
      <c r="L13" t="e">
        <f t="shared" si="9"/>
        <v>#DIV/0!</v>
      </c>
      <c r="M13" t="e">
        <f t="shared" si="7"/>
        <v>#DIV/0!</v>
      </c>
      <c r="N13" t="e">
        <f>1+(1/$K$24)+($K$25^2/($K$24^2*$K$26^2))*SQRT(PI()*$K$27^3*$K$26/(I13*J13*$K$28)*$K$31)</f>
        <v>#DIV/0!</v>
      </c>
      <c r="O13" t="e">
        <f t="shared" si="10"/>
        <v>#DIV/0!</v>
      </c>
      <c r="P13" t="e">
        <f t="shared" si="8"/>
        <v>#DIV/0!</v>
      </c>
      <c r="Q13" t="e">
        <f t="shared" si="11"/>
        <v>#DIV/0!</v>
      </c>
    </row>
    <row r="14" spans="1:17" x14ac:dyDescent="0.15">
      <c r="A14" s="1" t="s">
        <v>41</v>
      </c>
      <c r="B14">
        <v>0.57905031433821108</v>
      </c>
      <c r="C14">
        <v>1.226516610125723</v>
      </c>
      <c r="D14">
        <v>1.19</v>
      </c>
      <c r="E14">
        <f t="shared" si="6"/>
        <v>3.6516610125723048E-2</v>
      </c>
      <c r="F14">
        <v>0.98364079668816118</v>
      </c>
      <c r="G14">
        <v>1.4484162808073471</v>
      </c>
      <c r="H14">
        <v>1.55</v>
      </c>
      <c r="J14" s="4">
        <f>I14/$J$29</f>
        <v>0</v>
      </c>
      <c r="K14" t="e">
        <f>1+(1/$J$25)+SQRT((PI()*$J$27^3*$J$26)/(I14*J14*$J$28))</f>
        <v>#DIV/0!</v>
      </c>
      <c r="L14" t="e">
        <f t="shared" si="9"/>
        <v>#DIV/0!</v>
      </c>
      <c r="M14" t="e">
        <f t="shared" si="7"/>
        <v>#DIV/0!</v>
      </c>
      <c r="N14" t="e">
        <f>1+(1/$K$24)+($K$25^2/($K$24^2*$K$26^2))*SQRT(PI()*$K$27^3*$K$26/(I14*J14*$K$28)*$K$31)</f>
        <v>#DIV/0!</v>
      </c>
      <c r="O14" t="e">
        <f t="shared" si="10"/>
        <v>#DIV/0!</v>
      </c>
      <c r="P14" t="e">
        <f t="shared" si="8"/>
        <v>#DIV/0!</v>
      </c>
      <c r="Q14" t="e">
        <f t="shared" si="11"/>
        <v>#DIV/0!</v>
      </c>
    </row>
    <row r="15" spans="1:17" x14ac:dyDescent="0.15">
      <c r="A15" s="1" t="s">
        <v>44</v>
      </c>
      <c r="B15">
        <v>0.58025609043514992</v>
      </c>
      <c r="C15">
        <v>1.1763742260110781</v>
      </c>
      <c r="D15">
        <v>1.1599999999999999</v>
      </c>
      <c r="E15">
        <f t="shared" si="6"/>
        <v>1.6374226011078186E-2</v>
      </c>
      <c r="F15">
        <v>0.98694922730921231</v>
      </c>
      <c r="G15">
        <v>1.558982504644606</v>
      </c>
      <c r="H15">
        <v>1.5</v>
      </c>
      <c r="J15" s="4">
        <f>I15/$J$29</f>
        <v>0</v>
      </c>
      <c r="K15" t="e">
        <f>1+(1/$J$25)+SQRT((PI()*$J$27^3*$J$26)/(I15*J15*$J$28))</f>
        <v>#DIV/0!</v>
      </c>
      <c r="L15" t="e">
        <f t="shared" si="9"/>
        <v>#DIV/0!</v>
      </c>
      <c r="M15" t="e">
        <f t="shared" si="7"/>
        <v>#DIV/0!</v>
      </c>
      <c r="N15" t="e">
        <f>1+(1/$K$24)+($K$25^2/($K$24^2*$K$26^2))*SQRT(PI()*$K$27^3*$K$26/(I15*J15*$K$28)*$K$31)</f>
        <v>#DIV/0!</v>
      </c>
      <c r="O15" t="e">
        <f t="shared" si="10"/>
        <v>#DIV/0!</v>
      </c>
      <c r="P15" t="e">
        <f t="shared" si="8"/>
        <v>#DIV/0!</v>
      </c>
      <c r="Q15" t="e">
        <f t="shared" si="11"/>
        <v>#DIV/0!</v>
      </c>
    </row>
    <row r="16" spans="1:17" x14ac:dyDescent="0.15">
      <c r="A16" s="1" t="s">
        <v>47</v>
      </c>
      <c r="B16">
        <v>0.60160839748753925</v>
      </c>
      <c r="C16">
        <v>1.269587075633829</v>
      </c>
      <c r="D16">
        <v>1.1499999999999999</v>
      </c>
      <c r="E16">
        <f t="shared" si="6"/>
        <v>0.11958707563382909</v>
      </c>
      <c r="F16">
        <v>0.98738763276001806</v>
      </c>
      <c r="G16">
        <v>1.973346674219657</v>
      </c>
      <c r="H16">
        <v>1.55</v>
      </c>
      <c r="J16" s="4">
        <f>I16/$J$29</f>
        <v>0</v>
      </c>
      <c r="K16" t="e">
        <f>1+(1/$J$25)+SQRT((PI()*$J$27^3*$J$26)/(I16*J16*$J$28))</f>
        <v>#DIV/0!</v>
      </c>
      <c r="L16" t="e">
        <f t="shared" si="9"/>
        <v>#DIV/0!</v>
      </c>
      <c r="M16" t="e">
        <f t="shared" si="7"/>
        <v>#DIV/0!</v>
      </c>
      <c r="N16" t="e">
        <f>1+(1/$K$24)+($K$25^2/($K$24^2*$K$26^2))*SQRT(PI()*$K$27^3*$K$26/(I16*J16*$K$28)*$K$31)</f>
        <v>#DIV/0!</v>
      </c>
      <c r="O16" t="e">
        <f t="shared" si="10"/>
        <v>#DIV/0!</v>
      </c>
      <c r="P16" t="e">
        <f t="shared" si="8"/>
        <v>#DIV/0!</v>
      </c>
      <c r="Q16" t="e">
        <f t="shared" si="11"/>
        <v>#DIV/0!</v>
      </c>
    </row>
    <row r="17" spans="1:17" x14ac:dyDescent="0.15">
      <c r="A17" s="1" t="s">
        <v>50</v>
      </c>
      <c r="B17">
        <v>0.48662994269849053</v>
      </c>
      <c r="C17">
        <v>1.467944837839273</v>
      </c>
      <c r="D17">
        <v>1.65</v>
      </c>
      <c r="E17">
        <f t="shared" si="6"/>
        <v>0.18205516216072692</v>
      </c>
      <c r="F17">
        <v>0.90297963536522652</v>
      </c>
      <c r="G17">
        <v>3.093327735308832</v>
      </c>
      <c r="H17">
        <v>2.8</v>
      </c>
      <c r="I17">
        <v>5.5000000000000003E-4</v>
      </c>
      <c r="J17" s="4">
        <f>I17/$J$29</f>
        <v>550000</v>
      </c>
      <c r="K17">
        <f>1+(1/$J$25)+SQRT((PI()*$J$27^3*$J$26)/(I17*J17*$J$28))</f>
        <v>1.3048745735264897</v>
      </c>
      <c r="L17">
        <f t="shared" si="9"/>
        <v>1.1249687094612313</v>
      </c>
      <c r="M17">
        <f t="shared" si="7"/>
        <v>0.3429761283780417</v>
      </c>
      <c r="N17">
        <f>1+(1/$K$24)+($K$25^2/($K$24^2*$K$26^2))*SQRT(PI()*$K$27^3*$K$26/(I17*J17*$K$28)*$K$31)</f>
        <v>1.1104732829916995</v>
      </c>
      <c r="O17">
        <f t="shared" si="10"/>
        <v>1.3306919275246465</v>
      </c>
      <c r="P17">
        <f t="shared" si="8"/>
        <v>0.31930807247535342</v>
      </c>
      <c r="Q17">
        <f t="shared" si="11"/>
        <v>1.2697205304634795</v>
      </c>
    </row>
    <row r="18" spans="1:17" x14ac:dyDescent="0.15">
      <c r="A18" s="1" t="s">
        <v>53</v>
      </c>
      <c r="B18">
        <v>0.67385944250612306</v>
      </c>
      <c r="C18">
        <v>1.4021495343135479</v>
      </c>
      <c r="D18">
        <v>1.25</v>
      </c>
      <c r="E18">
        <f t="shared" si="6"/>
        <v>0.15214953431354794</v>
      </c>
      <c r="F18">
        <v>0.98291628222918892</v>
      </c>
      <c r="G18">
        <v>2.1436462898395749</v>
      </c>
      <c r="H18">
        <v>1.95</v>
      </c>
      <c r="I18">
        <v>6.4999999999999994E-5</v>
      </c>
      <c r="J18" s="4">
        <f>I18/$J$29</f>
        <v>64999.999999999993</v>
      </c>
      <c r="K18">
        <f>1+(1/$J$25)+SQRT((PI()*$J$27^3*$J$26)/(I18*J18*$J$28))</f>
        <v>2.7250070751386737</v>
      </c>
      <c r="L18">
        <f t="shared" si="9"/>
        <v>2.0107929262104181</v>
      </c>
      <c r="M18">
        <f t="shared" si="7"/>
        <v>0.60864339189687011</v>
      </c>
      <c r="N18">
        <f>1+(1/$K$24)+($K$25^2/($K$24^2*$K$26^2))*SQRT(PI()*$K$27^3*$K$26/(I18*J18*$K$28)*$K$31)</f>
        <v>1.8881393176220724</v>
      </c>
      <c r="O18">
        <f t="shared" si="10"/>
        <v>3.5248587821238693</v>
      </c>
      <c r="P18">
        <f t="shared" si="8"/>
        <v>2.2748587821238693</v>
      </c>
      <c r="Q18">
        <f t="shared" si="11"/>
        <v>3.2356160269986725</v>
      </c>
    </row>
    <row r="19" spans="1:17" x14ac:dyDescent="0.15">
      <c r="A19" s="1" t="s">
        <v>56</v>
      </c>
      <c r="B19">
        <v>0.59543774499781077</v>
      </c>
      <c r="C19">
        <v>1.3415882999044639</v>
      </c>
      <c r="D19">
        <v>1.3</v>
      </c>
      <c r="E19">
        <f t="shared" si="6"/>
        <v>4.1588299904463888E-2</v>
      </c>
      <c r="F19">
        <v>0.97722615687660885</v>
      </c>
      <c r="G19">
        <v>1.6102326701190359</v>
      </c>
      <c r="H19">
        <v>1.7</v>
      </c>
      <c r="J19" s="4">
        <f>I19/$J$29</f>
        <v>0</v>
      </c>
      <c r="K19" t="e">
        <f>1+(1/$J$25)+SQRT((PI()*$J$27^3*$J$26)/(I19*J19*$J$28))</f>
        <v>#DIV/0!</v>
      </c>
      <c r="L19" t="e">
        <f t="shared" si="9"/>
        <v>#DIV/0!</v>
      </c>
      <c r="M19" t="e">
        <f t="shared" si="7"/>
        <v>#DIV/0!</v>
      </c>
      <c r="N19" t="e">
        <f>1+(1/$K$24)+($K$25^2/($K$24^2*$K$26^2))*SQRT(PI()*$K$27^3*$K$26/(I19*J19*$K$28)*$K$31)</f>
        <v>#DIV/0!</v>
      </c>
      <c r="O19" t="e">
        <f t="shared" si="10"/>
        <v>#DIV/0!</v>
      </c>
      <c r="P19" t="e">
        <f t="shared" si="8"/>
        <v>#DIV/0!</v>
      </c>
      <c r="Q19" t="e">
        <f t="shared" si="11"/>
        <v>#DIV/0!</v>
      </c>
    </row>
    <row r="20" spans="1:17" x14ac:dyDescent="0.15">
      <c r="E20" s="7">
        <f>AVERAGE(E2:E5,E7:E9,E12,E17:E18)</f>
        <v>0.12763436480012014</v>
      </c>
      <c r="M20">
        <f>AVERAGE(M2:M4,M5,M7:M9,M12,M17:M18)</f>
        <v>0.23753232583850856</v>
      </c>
      <c r="P20">
        <f>AVERAGE(P2:P5,P7:P9,P12,P17:P18)</f>
        <v>0.37145345995170753</v>
      </c>
    </row>
    <row r="23" spans="1:17" x14ac:dyDescent="0.15">
      <c r="J23" t="s">
        <v>69</v>
      </c>
      <c r="K23" t="s">
        <v>68</v>
      </c>
    </row>
    <row r="24" spans="1:17" x14ac:dyDescent="0.15">
      <c r="I24" t="s">
        <v>59</v>
      </c>
      <c r="J24">
        <f>200*L35</f>
        <v>160</v>
      </c>
      <c r="K24">
        <f>200*L35</f>
        <v>160</v>
      </c>
    </row>
    <row r="25" spans="1:17" x14ac:dyDescent="0.15">
      <c r="I25" t="s">
        <v>60</v>
      </c>
      <c r="J25">
        <v>8.73</v>
      </c>
      <c r="K25">
        <v>7</v>
      </c>
    </row>
    <row r="26" spans="1:17" x14ac:dyDescent="0.15">
      <c r="I26" t="s">
        <v>61</v>
      </c>
      <c r="J26">
        <v>4.36E-2</v>
      </c>
      <c r="K26">
        <v>3.5000000000000003E-2</v>
      </c>
    </row>
    <row r="27" spans="1:17" x14ac:dyDescent="0.15">
      <c r="I27" t="s">
        <v>58</v>
      </c>
      <c r="J27">
        <v>2000</v>
      </c>
      <c r="K27">
        <v>2000</v>
      </c>
    </row>
    <row r="28" spans="1:17" x14ac:dyDescent="0.15">
      <c r="I28" t="s">
        <v>64</v>
      </c>
      <c r="J28">
        <v>100000000</v>
      </c>
      <c r="K28">
        <v>100000000</v>
      </c>
    </row>
    <row r="29" spans="1:17" x14ac:dyDescent="0.15">
      <c r="I29" s="5" t="s">
        <v>65</v>
      </c>
      <c r="J29" s="6">
        <v>1.0000000000000001E-9</v>
      </c>
      <c r="K29" s="4">
        <v>1.0000000000000001E-9</v>
      </c>
    </row>
    <row r="30" spans="1:17" x14ac:dyDescent="0.15">
      <c r="I30" t="s">
        <v>70</v>
      </c>
      <c r="J30">
        <f>SQRT(3*J27)*(J29*J26/(3*J28))^(1/6)*16^(1/3)</f>
        <v>0.14152825712384712</v>
      </c>
      <c r="K30">
        <f>SQRT(3*K27)*(K29*K26/(3*K28))^(1/6)*16^(1/3)</f>
        <v>0.13643948904772585</v>
      </c>
    </row>
    <row r="31" spans="1:17" x14ac:dyDescent="0.15">
      <c r="I31" t="s">
        <v>67</v>
      </c>
      <c r="J31">
        <f>_xlfn.ERF.PRECISE(J30)</f>
        <v>0.15863765329383217</v>
      </c>
      <c r="K31">
        <f>_xlfn.ERF.PRECISE(K30)</f>
        <v>0.15300545729563617</v>
      </c>
    </row>
    <row r="32" spans="1:17" x14ac:dyDescent="0.15">
      <c r="I32" t="s">
        <v>66</v>
      </c>
      <c r="J32">
        <f>SQRT(-2*LN(1-L35))</f>
        <v>1.7941225779941015</v>
      </c>
      <c r="K32">
        <f>SQRT(-2*LN(1-L35))</f>
        <v>1.7941225779941015</v>
      </c>
    </row>
    <row r="33" spans="9:12" x14ac:dyDescent="0.15">
      <c r="I33" t="s">
        <v>71</v>
      </c>
      <c r="J33">
        <f>_xlfn.ERF.PRECISE(J32)</f>
        <v>0.9888280039709888</v>
      </c>
      <c r="K33">
        <f>_xlfn.ERF.PRECISE(K32)</f>
        <v>0.9888280039709888</v>
      </c>
    </row>
    <row r="35" spans="9:12" x14ac:dyDescent="0.15">
      <c r="K35" t="s">
        <v>74</v>
      </c>
      <c r="L35">
        <v>0.8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compare_to_other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 Tatsuya</cp:lastModifiedBy>
  <dcterms:created xsi:type="dcterms:W3CDTF">2025-06-28T02:43:03Z</dcterms:created>
  <dcterms:modified xsi:type="dcterms:W3CDTF">2025-11-03T05:57:15Z</dcterms:modified>
</cp:coreProperties>
</file>