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1806\0_doctor_reserch\1_nitroxide\paper\250604_3rd_submit_M06\github\Mechanism_Oriented_Reaction_Descriptors_for_living_radical_polymerization\data\comparison_with_explicit_equations\"/>
    </mc:Choice>
  </mc:AlternateContent>
  <xr:revisionPtr revIDLastSave="0" documentId="13_ncr:1_{2F52889E-8135-47E7-AA31-2B4CCDE1248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  <workbookView xWindow="-120" yWindow="-120" windowWidth="29040" windowHeight="15720" xr2:uid="{26C2FBA3-E843-47B3-95CE-7C215C75C1B2}"/>
  </bookViews>
  <sheets>
    <sheet name="pred" sheetId="1" r:id="rId1"/>
    <sheet name="cond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7" i="1"/>
  <c r="F8" i="1"/>
  <c r="F9" i="1"/>
  <c r="F11" i="1"/>
  <c r="F12" i="1"/>
  <c r="F17" i="1"/>
  <c r="F18" i="1"/>
  <c r="E7" i="1"/>
  <c r="E8" i="1"/>
  <c r="E9" i="1"/>
  <c r="E11" i="1"/>
  <c r="E12" i="1"/>
  <c r="E17" i="1"/>
  <c r="E18" i="1"/>
  <c r="E3" i="1"/>
  <c r="E4" i="1"/>
  <c r="E5" i="1"/>
  <c r="E2" i="1"/>
  <c r="F2" i="1"/>
  <c r="C18" i="2"/>
  <c r="C17" i="2"/>
  <c r="D3" i="1"/>
  <c r="D2" i="1"/>
  <c r="C16" i="2"/>
  <c r="D17" i="1"/>
  <c r="C15" i="2"/>
  <c r="C5" i="2"/>
  <c r="D4" i="1"/>
  <c r="D5" i="1"/>
  <c r="D7" i="1"/>
  <c r="D8" i="1"/>
  <c r="D9" i="1"/>
  <c r="D11" i="1"/>
  <c r="D12" i="1"/>
  <c r="D18" i="1"/>
</calcChain>
</file>

<file path=xl/sharedStrings.xml><?xml version="1.0" encoding="utf-8"?>
<sst xmlns="http://schemas.openxmlformats.org/spreadsheetml/2006/main" count="43" uniqueCount="41">
  <si>
    <t>observed_y</t>
  </si>
  <si>
    <t>24</t>
  </si>
  <si>
    <t>25</t>
  </si>
  <si>
    <t>26</t>
  </si>
  <si>
    <t>27</t>
  </si>
  <si>
    <t>28</t>
  </si>
  <si>
    <t>29</t>
  </si>
  <si>
    <t>30a</t>
  </si>
  <si>
    <t>30b</t>
  </si>
  <si>
    <t>31</t>
  </si>
  <si>
    <t>32</t>
  </si>
  <si>
    <t>33</t>
  </si>
  <si>
    <t>35</t>
  </si>
  <si>
    <t>36</t>
  </si>
  <si>
    <t>37</t>
  </si>
  <si>
    <t>38</t>
  </si>
  <si>
    <t>39</t>
  </si>
  <si>
    <t>40</t>
  </si>
  <si>
    <t>42</t>
  </si>
  <si>
    <t>this work</t>
    <phoneticPr fontId="2"/>
  </si>
  <si>
    <t>K</t>
    <phoneticPr fontId="2"/>
  </si>
  <si>
    <t>Conversion</t>
    <phoneticPr fontId="2"/>
  </si>
  <si>
    <t>【Assumption】</t>
    <phoneticPr fontId="2"/>
  </si>
  <si>
    <t>【Conditions】</t>
    <phoneticPr fontId="2"/>
  </si>
  <si>
    <t>[M]0</t>
    <phoneticPr fontId="2"/>
  </si>
  <si>
    <t>M</t>
    <phoneticPr fontId="2"/>
  </si>
  <si>
    <t>[I]0</t>
    <phoneticPr fontId="2"/>
  </si>
  <si>
    <t>kp</t>
    <phoneticPr fontId="2"/>
  </si>
  <si>
    <t>M-1S-1</t>
    <phoneticPr fontId="2"/>
  </si>
  <si>
    <t>kt</t>
    <phoneticPr fontId="2"/>
  </si>
  <si>
    <t>kd</t>
    <phoneticPr fontId="2"/>
  </si>
  <si>
    <t>kc</t>
    <phoneticPr fontId="2"/>
  </si>
  <si>
    <t>【Error function】</t>
    <phoneticPr fontId="2"/>
  </si>
  <si>
    <t>Xn  or rn</t>
    <phoneticPr fontId="2"/>
  </si>
  <si>
    <t>z</t>
    <phoneticPr fontId="2"/>
  </si>
  <si>
    <t>t</t>
    <phoneticPr fontId="2"/>
  </si>
  <si>
    <t>erf(z)</t>
    <phoneticPr fontId="2"/>
  </si>
  <si>
    <t>u</t>
    <phoneticPr fontId="2"/>
  </si>
  <si>
    <t>erf(u)</t>
    <phoneticPr fontId="2"/>
  </si>
  <si>
    <t>three-term eq.</t>
    <phoneticPr fontId="2"/>
  </si>
  <si>
    <t>four-term eq.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</si>
</sst>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E+00"/>
    <numFmt numFmtId="177" formatCode="0.0.E+00"/>
  </numFmts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1" fontId="0" fillId="0" borderId="0" xfId="0" applyNumberFormat="1"/>
    <xf numFmtId="0" fontId="3" fillId="0" borderId="0" xfId="0" applyFont="1" applyAlignment="1">
      <alignment wrapText="1"/>
    </xf>
    <xf numFmtId="0" fontId="3" fillId="0" borderId="0" xfId="0" applyFont="1"/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pred!$B$1</c:f>
              <c:strCache>
                <c:ptCount val="1"/>
                <c:pt idx="0">
                  <c:v>this work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(pred!$G$2:$G$5,pred!$G$7:$G$9,pred!$G$11:$G$12,pred!$G$17:$G$18)</c:f>
              <c:numCache>
                <c:formatCode>0.00</c:formatCode>
                <c:ptCount val="11"/>
                <c:pt idx="0">
                  <c:v>1.1599999999999999</c:v>
                </c:pt>
                <c:pt idx="1">
                  <c:v>1.18</c:v>
                </c:pt>
                <c:pt idx="2">
                  <c:v>1.17</c:v>
                </c:pt>
                <c:pt idx="3">
                  <c:v>1.21</c:v>
                </c:pt>
                <c:pt idx="4">
                  <c:v>1.1399999999999999</c:v>
                </c:pt>
                <c:pt idx="5">
                  <c:v>1.71</c:v>
                </c:pt>
                <c:pt idx="6">
                  <c:v>1.49</c:v>
                </c:pt>
                <c:pt idx="7">
                  <c:v>1.72</c:v>
                </c:pt>
                <c:pt idx="8">
                  <c:v>1.1399999999999999</c:v>
                </c:pt>
                <c:pt idx="9">
                  <c:v>1.65</c:v>
                </c:pt>
                <c:pt idx="10">
                  <c:v>1.25</c:v>
                </c:pt>
              </c:numCache>
            </c:numRef>
          </c:xVal>
          <c:yVal>
            <c:numRef>
              <c:f>(pred!$B$2:$B$5,pred!$B$7:$B$9,pred!$B$11:$B$12,pred!$B$17:$B$18)</c:f>
              <c:numCache>
                <c:formatCode>0.00</c:formatCode>
                <c:ptCount val="11"/>
                <c:pt idx="0">
                  <c:v>1.182587400871614</c:v>
                </c:pt>
                <c:pt idx="1">
                  <c:v>1.114995361520484</c:v>
                </c:pt>
                <c:pt idx="2">
                  <c:v>1.403081180535849</c:v>
                </c:pt>
                <c:pt idx="3">
                  <c:v>1.2740371510831621</c:v>
                </c:pt>
                <c:pt idx="4">
                  <c:v>1.180109095661618</c:v>
                </c:pt>
                <c:pt idx="5">
                  <c:v>1.2966371061308879</c:v>
                </c:pt>
                <c:pt idx="6">
                  <c:v>1.3899013382602869</c:v>
                </c:pt>
                <c:pt idx="7">
                  <c:v>1.5085476086265981</c:v>
                </c:pt>
                <c:pt idx="8">
                  <c:v>1.143857929286342</c:v>
                </c:pt>
                <c:pt idx="9">
                  <c:v>1.467944837839273</c:v>
                </c:pt>
                <c:pt idx="10">
                  <c:v>1.4021495343135479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37-4426-B13F-E247FEC344B0}"/>
            </c:ext>
          </c:extLst>
        </c:ser>
        <c:ser>
          <c:idx val="1"/>
          <c:order val="1"/>
          <c:tx>
            <c:strRef>
              <c:f>pred!$E$1</c:f>
              <c:strCache>
                <c:ptCount val="1"/>
                <c:pt idx="0">
                  <c:v>three-term eq.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(pred!$G$2:$G$5,pred!$G$7:$G$9,pred!$G$11:$G$12,pred!$G$17:$G$18)</c:f>
              <c:numCache>
                <c:formatCode>0.00</c:formatCode>
                <c:ptCount val="11"/>
                <c:pt idx="0">
                  <c:v>1.1599999999999999</c:v>
                </c:pt>
                <c:pt idx="1">
                  <c:v>1.18</c:v>
                </c:pt>
                <c:pt idx="2">
                  <c:v>1.17</c:v>
                </c:pt>
                <c:pt idx="3">
                  <c:v>1.21</c:v>
                </c:pt>
                <c:pt idx="4">
                  <c:v>1.1399999999999999</c:v>
                </c:pt>
                <c:pt idx="5">
                  <c:v>1.71</c:v>
                </c:pt>
                <c:pt idx="6">
                  <c:v>1.49</c:v>
                </c:pt>
                <c:pt idx="7">
                  <c:v>1.72</c:v>
                </c:pt>
                <c:pt idx="8">
                  <c:v>1.1399999999999999</c:v>
                </c:pt>
                <c:pt idx="9">
                  <c:v>1.65</c:v>
                </c:pt>
                <c:pt idx="10">
                  <c:v>1.25</c:v>
                </c:pt>
              </c:numCache>
            </c:numRef>
          </c:xVal>
          <c:yVal>
            <c:numRef>
              <c:f>(pred!$E$2:$E$5,pred!$E$7:$E$9,pred!$E$11:$E$12,pred!$E$17:$E$18)</c:f>
              <c:numCache>
                <c:formatCode>0.00</c:formatCode>
                <c:ptCount val="11"/>
                <c:pt idx="0">
                  <c:v>1.0562628554711595</c:v>
                </c:pt>
                <c:pt idx="1">
                  <c:v>1.0082505142188465</c:v>
                </c:pt>
                <c:pt idx="2">
                  <c:v>1.0361427412011528</c:v>
                </c:pt>
                <c:pt idx="3">
                  <c:v>1.0114513369690006</c:v>
                </c:pt>
                <c:pt idx="4">
                  <c:v>1.0070889253175808</c:v>
                </c:pt>
                <c:pt idx="5">
                  <c:v>1.0593248670306183</c:v>
                </c:pt>
                <c:pt idx="6">
                  <c:v>1.0593248670306183</c:v>
                </c:pt>
                <c:pt idx="7">
                  <c:v>1.5480559342708942</c:v>
                </c:pt>
                <c:pt idx="8">
                  <c:v>1.0158821054981493</c:v>
                </c:pt>
                <c:pt idx="9">
                  <c:v>1.053534881536369</c:v>
                </c:pt>
                <c:pt idx="10">
                  <c:v>1.4063528437692758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37-4426-B13F-E247FEC344B0}"/>
            </c:ext>
          </c:extLst>
        </c:ser>
        <c:ser>
          <c:idx val="2"/>
          <c:order val="2"/>
          <c:tx>
            <c:strRef>
              <c:f>pred!$F$1</c:f>
              <c:strCache>
                <c:ptCount val="1"/>
                <c:pt idx="0">
                  <c:v>four-term eq.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(pred!$G$2:$G$5,pred!$G$7:$G$9,pred!$G$11:$G$12,pred!$G$17:$G$18)</c:f>
              <c:numCache>
                <c:formatCode>0.00</c:formatCode>
                <c:ptCount val="11"/>
                <c:pt idx="0">
                  <c:v>1.1599999999999999</c:v>
                </c:pt>
                <c:pt idx="1">
                  <c:v>1.18</c:v>
                </c:pt>
                <c:pt idx="2">
                  <c:v>1.17</c:v>
                </c:pt>
                <c:pt idx="3">
                  <c:v>1.21</c:v>
                </c:pt>
                <c:pt idx="4">
                  <c:v>1.1399999999999999</c:v>
                </c:pt>
                <c:pt idx="5">
                  <c:v>1.71</c:v>
                </c:pt>
                <c:pt idx="6">
                  <c:v>1.49</c:v>
                </c:pt>
                <c:pt idx="7">
                  <c:v>1.72</c:v>
                </c:pt>
                <c:pt idx="8">
                  <c:v>1.1399999999999999</c:v>
                </c:pt>
                <c:pt idx="9">
                  <c:v>1.65</c:v>
                </c:pt>
                <c:pt idx="10">
                  <c:v>1.25</c:v>
                </c:pt>
              </c:numCache>
            </c:numRef>
          </c:xVal>
          <c:yVal>
            <c:numRef>
              <c:f>(pred!$F$2:$F$5,pred!$F$7:$F$9,pred!$F$11:$F$12,pred!$F$17:$F$18)</c:f>
              <c:numCache>
                <c:formatCode>0.00</c:formatCode>
                <c:ptCount val="11"/>
                <c:pt idx="0">
                  <c:v>1.3476571351633002</c:v>
                </c:pt>
                <c:pt idx="1">
                  <c:v>1.0490694807229937</c:v>
                </c:pt>
                <c:pt idx="2">
                  <c:v>1.2225306037287849</c:v>
                </c:pt>
                <c:pt idx="3">
                  <c:v>1.0689753243523474</c:v>
                </c:pt>
                <c:pt idx="4">
                  <c:v>1.0418455858575024</c:v>
                </c:pt>
                <c:pt idx="5">
                  <c:v>1.3666997151658709</c:v>
                </c:pt>
                <c:pt idx="6">
                  <c:v>1.3666997151658709</c:v>
                </c:pt>
                <c:pt idx="7">
                  <c:v>4.4061070677983842</c:v>
                </c:pt>
                <c:pt idx="8">
                  <c:v>1.0965301727096473</c:v>
                </c:pt>
                <c:pt idx="9">
                  <c:v>1.3306919275246465</c:v>
                </c:pt>
                <c:pt idx="10">
                  <c:v>3.5248587821238693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37-4426-B13F-E247FEC34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846056"/>
        <c:axId val="1163846416"/>
      </c:scatterChart>
      <c:valAx>
        <c:axId val="1163846056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observed_D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3846416"/>
        <c:crosses val="autoZero"/>
        <c:crossBetween val="midCat"/>
      </c:valAx>
      <c:valAx>
        <c:axId val="116384641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pred_D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3846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pred!$B$1</c:f>
              <c:strCache>
                <c:ptCount val="1"/>
                <c:pt idx="0">
                  <c:v>this work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(pred!$G$2:$G$5,pred!$G$7:$G$9,pred!$G$11:$G$12,pred!$G$17:$G$18)</c:f>
              <c:numCache>
                <c:formatCode>0.00</c:formatCode>
                <c:ptCount val="11"/>
                <c:pt idx="0">
                  <c:v>1.1599999999999999</c:v>
                </c:pt>
                <c:pt idx="1">
                  <c:v>1.18</c:v>
                </c:pt>
                <c:pt idx="2">
                  <c:v>1.17</c:v>
                </c:pt>
                <c:pt idx="3">
                  <c:v>1.21</c:v>
                </c:pt>
                <c:pt idx="4">
                  <c:v>1.1399999999999999</c:v>
                </c:pt>
                <c:pt idx="5">
                  <c:v>1.71</c:v>
                </c:pt>
                <c:pt idx="6">
                  <c:v>1.49</c:v>
                </c:pt>
                <c:pt idx="7">
                  <c:v>1.72</c:v>
                </c:pt>
                <c:pt idx="8">
                  <c:v>1.1399999999999999</c:v>
                </c:pt>
                <c:pt idx="9">
                  <c:v>1.65</c:v>
                </c:pt>
                <c:pt idx="10">
                  <c:v>1.25</c:v>
                </c:pt>
              </c:numCache>
            </c:numRef>
          </c:xVal>
          <c:yVal>
            <c:numRef>
              <c:f>(pred!$B$2:$B$5,pred!$B$7:$B$9,pred!$B$11:$B$12,pred!$B$17:$B$18)</c:f>
              <c:numCache>
                <c:formatCode>0.00</c:formatCode>
                <c:ptCount val="11"/>
                <c:pt idx="0">
                  <c:v>1.182587400871614</c:v>
                </c:pt>
                <c:pt idx="1">
                  <c:v>1.114995361520484</c:v>
                </c:pt>
                <c:pt idx="2">
                  <c:v>1.403081180535849</c:v>
                </c:pt>
                <c:pt idx="3">
                  <c:v>1.2740371510831621</c:v>
                </c:pt>
                <c:pt idx="4">
                  <c:v>1.180109095661618</c:v>
                </c:pt>
                <c:pt idx="5">
                  <c:v>1.2966371061308879</c:v>
                </c:pt>
                <c:pt idx="6">
                  <c:v>1.3899013382602869</c:v>
                </c:pt>
                <c:pt idx="7">
                  <c:v>1.5085476086265981</c:v>
                </c:pt>
                <c:pt idx="8">
                  <c:v>1.143857929286342</c:v>
                </c:pt>
                <c:pt idx="9">
                  <c:v>1.467944837839273</c:v>
                </c:pt>
                <c:pt idx="10">
                  <c:v>1.4021495343135479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37-4426-B13F-E247FEC344B0}"/>
            </c:ext>
          </c:extLst>
        </c:ser>
        <c:ser>
          <c:idx val="1"/>
          <c:order val="1"/>
          <c:tx>
            <c:strRef>
              <c:f>pred!$E$1</c:f>
              <c:strCache>
                <c:ptCount val="1"/>
                <c:pt idx="0">
                  <c:v>three-term eq.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(pred!$G$2:$G$5,pred!$G$7:$G$9,pred!$G$11:$G$12,pred!$G$17:$G$18)</c:f>
              <c:numCache>
                <c:formatCode>0.00</c:formatCode>
                <c:ptCount val="11"/>
                <c:pt idx="0">
                  <c:v>1.1599999999999999</c:v>
                </c:pt>
                <c:pt idx="1">
                  <c:v>1.18</c:v>
                </c:pt>
                <c:pt idx="2">
                  <c:v>1.17</c:v>
                </c:pt>
                <c:pt idx="3">
                  <c:v>1.21</c:v>
                </c:pt>
                <c:pt idx="4">
                  <c:v>1.1399999999999999</c:v>
                </c:pt>
                <c:pt idx="5">
                  <c:v>1.71</c:v>
                </c:pt>
                <c:pt idx="6">
                  <c:v>1.49</c:v>
                </c:pt>
                <c:pt idx="7">
                  <c:v>1.72</c:v>
                </c:pt>
                <c:pt idx="8">
                  <c:v>1.1399999999999999</c:v>
                </c:pt>
                <c:pt idx="9">
                  <c:v>1.65</c:v>
                </c:pt>
                <c:pt idx="10">
                  <c:v>1.25</c:v>
                </c:pt>
              </c:numCache>
            </c:numRef>
          </c:xVal>
          <c:yVal>
            <c:numRef>
              <c:f>(pred!$E$2:$E$5,pred!$E$7:$E$9,pred!$E$11:$E$12,pred!$E$17:$E$18)</c:f>
              <c:numCache>
                <c:formatCode>0.00</c:formatCode>
                <c:ptCount val="11"/>
                <c:pt idx="0">
                  <c:v>1.0562628554711595</c:v>
                </c:pt>
                <c:pt idx="1">
                  <c:v>1.0082505142188465</c:v>
                </c:pt>
                <c:pt idx="2">
                  <c:v>1.0361427412011528</c:v>
                </c:pt>
                <c:pt idx="3">
                  <c:v>1.0114513369690006</c:v>
                </c:pt>
                <c:pt idx="4">
                  <c:v>1.0070889253175808</c:v>
                </c:pt>
                <c:pt idx="5">
                  <c:v>1.0593248670306183</c:v>
                </c:pt>
                <c:pt idx="6">
                  <c:v>1.0593248670306183</c:v>
                </c:pt>
                <c:pt idx="7">
                  <c:v>1.5480559342708942</c:v>
                </c:pt>
                <c:pt idx="8">
                  <c:v>1.0158821054981493</c:v>
                </c:pt>
                <c:pt idx="9">
                  <c:v>1.053534881536369</c:v>
                </c:pt>
                <c:pt idx="10">
                  <c:v>1.4063528437692758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37-4426-B13F-E247FEC344B0}"/>
            </c:ext>
          </c:extLst>
        </c:ser>
        <c:ser>
          <c:idx val="2"/>
          <c:order val="2"/>
          <c:tx>
            <c:strRef>
              <c:f>pred!$F$1</c:f>
              <c:strCache>
                <c:ptCount val="1"/>
                <c:pt idx="0">
                  <c:v>four-term eq.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(pred!$G$2:$G$5,pred!$G$7:$G$9,pred!$G$11:$G$12,pred!$G$17:$G$18)</c:f>
              <c:numCache>
                <c:formatCode>0.00</c:formatCode>
                <c:ptCount val="11"/>
                <c:pt idx="0">
                  <c:v>1.1599999999999999</c:v>
                </c:pt>
                <c:pt idx="1">
                  <c:v>1.18</c:v>
                </c:pt>
                <c:pt idx="2">
                  <c:v>1.17</c:v>
                </c:pt>
                <c:pt idx="3">
                  <c:v>1.21</c:v>
                </c:pt>
                <c:pt idx="4">
                  <c:v>1.1399999999999999</c:v>
                </c:pt>
                <c:pt idx="5">
                  <c:v>1.71</c:v>
                </c:pt>
                <c:pt idx="6">
                  <c:v>1.49</c:v>
                </c:pt>
                <c:pt idx="7">
                  <c:v>1.72</c:v>
                </c:pt>
                <c:pt idx="8">
                  <c:v>1.1399999999999999</c:v>
                </c:pt>
                <c:pt idx="9">
                  <c:v>1.65</c:v>
                </c:pt>
                <c:pt idx="10">
                  <c:v>1.25</c:v>
                </c:pt>
              </c:numCache>
            </c:numRef>
          </c:xVal>
          <c:yVal>
            <c:numRef>
              <c:f>(pred!$F$2:$F$5,pred!$F$7:$F$9,pred!$F$11:$F$12,pred!$F$17:$F$18)</c:f>
              <c:numCache>
                <c:formatCode>0.00</c:formatCode>
                <c:ptCount val="11"/>
                <c:pt idx="0">
                  <c:v>1.3476571351633002</c:v>
                </c:pt>
                <c:pt idx="1">
                  <c:v>1.0490694807229937</c:v>
                </c:pt>
                <c:pt idx="2">
                  <c:v>1.2225306037287849</c:v>
                </c:pt>
                <c:pt idx="3">
                  <c:v>1.0689753243523474</c:v>
                </c:pt>
                <c:pt idx="4">
                  <c:v>1.0418455858575024</c:v>
                </c:pt>
                <c:pt idx="5">
                  <c:v>1.3666997151658709</c:v>
                </c:pt>
                <c:pt idx="6">
                  <c:v>1.3666997151658709</c:v>
                </c:pt>
                <c:pt idx="7">
                  <c:v>4.4061070677983842</c:v>
                </c:pt>
                <c:pt idx="8">
                  <c:v>1.0965301727096473</c:v>
                </c:pt>
                <c:pt idx="9">
                  <c:v>1.3306919275246465</c:v>
                </c:pt>
                <c:pt idx="10">
                  <c:v>3.5248587821238693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37-4426-B13F-E247FEC34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846056"/>
        <c:axId val="1163846416"/>
      </c:scatterChart>
      <c:valAx>
        <c:axId val="1163846056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observed_D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3846416"/>
        <c:crosses val="autoZero"/>
        <c:crossBetween val="midCat"/>
      </c:valAx>
      <c:valAx>
        <c:axId val="1163846416"/>
        <c:scaling>
          <c:orientation val="minMax"/>
          <c:max val="1.8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pred_D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3846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395287</xdr:colOff>
      <xdr:row>21</xdr:row>
      <xdr:rowOff>157162</xdr:rowOff>
    </xdr:from>
    <xdr:to>
      <xdr:col>4</xdr:col>
      <xdr:colOff>466725</xdr:colOff>
      <xdr:row>38</xdr:row>
      <xdr:rowOff>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B1E762E-CF84-800B-A41B-3762E3DD6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528637</xdr:colOff>
      <xdr:row>21</xdr:row>
      <xdr:rowOff>157162</xdr:rowOff>
    </xdr:from>
    <xdr:to>
      <xdr:col>9</xdr:col>
      <xdr:colOff>95250</xdr:colOff>
      <xdr:row>38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87E3E67-B237-A491-C416-D94333355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B25" sqref="B25"/>
    </sheetView>
    <sheetView tabSelected="1" workbookViewId="1">
      <selection activeCell="F2" sqref="F2"/>
    </sheetView>
  </sheetViews>
  <sheetFormatPr defaultRowHeight="13.5" x14ac:dyDescent="0.15"/>
  <cols>
    <col min="2" max="2" width="10.125" bestFit="1" customWidth="1"/>
    <col min="3" max="3" width="9.5" style="7" bestFit="1" customWidth="1"/>
    <col min="4" max="4" width="16.5" style="7" bestFit="1" customWidth="1"/>
    <col min="5" max="5" width="11.625" bestFit="1" customWidth="1"/>
    <col min="6" max="6" width="10.375" bestFit="1" customWidth="1"/>
    <col min="7" max="7" width="11.75" bestFit="1" customWidth="1"/>
  </cols>
  <sheetData>
    <row r="1" spans="1:7" x14ac:dyDescent="0.15">
      <c r="B1" s="1" t="s">
        <v>19</v>
      </c>
      <c r="C1" s="6" t="s">
        <v>30</v>
      </c>
      <c r="D1" s="6" t="s">
        <v>31</v>
      </c>
      <c r="E1" s="1" t="s">
        <v>39</v>
      </c>
      <c r="F1" s="1" t="s">
        <v>40</v>
      </c>
      <c r="G1" s="1" t="s">
        <v>0</v>
      </c>
    </row>
    <row r="2" spans="1:7" x14ac:dyDescent="0.15">
      <c r="A2" s="1" t="s">
        <v>1</v>
      </c>
      <c r="B2" s="2">
        <v>1.182587400871614</v>
      </c>
      <c r="C2" s="8">
        <v>5.1999999999999995E-4</v>
      </c>
      <c r="D2" s="8">
        <f>C2/conditions!$C$3</f>
        <v>519999.99999999994</v>
      </c>
      <c r="E2" s="2">
        <f>1+(1/conditions!$C$5)+(conditions!$C$8^2/(conditions!$C$5^2*conditions!$C$9^2))*SQRT(PI()*conditions!$C$10^3*conditions!$C$9/(C2*D2*conditions!$C$11))*conditions!$C$16</f>
        <v>1.0562628554711595</v>
      </c>
      <c r="F2" s="2">
        <f>1+(1/conditions!$C$5)+SQRT(PI()*conditions!$C$10^3*conditions!$C$9/(conditions!$C$11*C2*D2))*(conditions!$C$18/conditions!$C$4^2)+SQRT(conditions!$C$11*C2/(conditions!$C$10*D2*conditions!$C$9))*(conditions!$C$17/2)</f>
        <v>1.3476571351633002</v>
      </c>
      <c r="G2" s="2">
        <v>1.1599999999999999</v>
      </c>
    </row>
    <row r="3" spans="1:7" x14ac:dyDescent="0.15">
      <c r="A3" s="1" t="s">
        <v>2</v>
      </c>
      <c r="B3" s="2">
        <v>1.114995361520484</v>
      </c>
      <c r="C3" s="8">
        <v>1.2999999999999999E-2</v>
      </c>
      <c r="D3" s="8">
        <f>C3/conditions!$C$3</f>
        <v>12999999.999999998</v>
      </c>
      <c r="E3" s="2">
        <f>1+(1/conditions!$C$5)+(conditions!$C$8^2/(conditions!$C$5^2*conditions!$C$9^2))*SQRT(PI()*conditions!$C$10^3*conditions!$C$9/(C3*D3*conditions!$C$11))*conditions!$C$16</f>
        <v>1.0082505142188465</v>
      </c>
      <c r="F3" s="2">
        <f>1+(1/conditions!$C$5)+SQRT(PI()*conditions!$C$10^3*conditions!$C$9/(conditions!$C$11*C3*D3))*(conditions!$C$18/conditions!$C$4^2)+SQRT(conditions!$C$11*C3/(conditions!$C$10*D3*conditions!$C$9))*(conditions!$C$17/2)</f>
        <v>1.0490694807229937</v>
      </c>
      <c r="G3" s="2">
        <v>1.18</v>
      </c>
    </row>
    <row r="4" spans="1:7" x14ac:dyDescent="0.15">
      <c r="A4" s="1" t="s">
        <v>3</v>
      </c>
      <c r="B4" s="2">
        <v>1.403081180535849</v>
      </c>
      <c r="C4" s="8">
        <v>8.7000000000000001E-4</v>
      </c>
      <c r="D4" s="8">
        <f>C4/conditions!$C$3</f>
        <v>870000</v>
      </c>
      <c r="E4" s="2">
        <f>1+(1/conditions!$C$5)+(conditions!$C$8^2/(conditions!$C$5^2*conditions!$C$9^2))*SQRT(PI()*conditions!$C$10^3*conditions!$C$9/(C4*D4*conditions!$C$11))*conditions!$C$16</f>
        <v>1.0361427412011528</v>
      </c>
      <c r="F4" s="2">
        <f>1+(1/conditions!$C$5)+SQRT(PI()*conditions!$C$10^3*conditions!$C$9/(conditions!$C$11*C4*D4))*(conditions!$C$18/conditions!$C$4^2)+SQRT(conditions!$C$11*C4/(conditions!$C$10*D4*conditions!$C$9))*(conditions!$C$17/2)</f>
        <v>1.2225306037287849</v>
      </c>
      <c r="G4" s="2">
        <v>1.17</v>
      </c>
    </row>
    <row r="5" spans="1:7" x14ac:dyDescent="0.15">
      <c r="A5" s="1" t="s">
        <v>4</v>
      </c>
      <c r="B5" s="2">
        <v>1.2740371510831621</v>
      </c>
      <c r="C5" s="8">
        <v>5.0000000000000001E-3</v>
      </c>
      <c r="D5" s="8">
        <f>C5/conditions!$C$3</f>
        <v>5000000</v>
      </c>
      <c r="E5" s="2">
        <f>1+(1/conditions!$C$5)+(conditions!$C$8^2/(conditions!$C$5^2*conditions!$C$9^2))*SQRT(PI()*conditions!$C$10^3*conditions!$C$9/(C5*D5*conditions!$C$11))*conditions!$C$16</f>
        <v>1.0114513369690006</v>
      </c>
      <c r="F5" s="2">
        <f>1+(1/conditions!$C$5)+SQRT(PI()*conditions!$C$10^3*conditions!$C$9/(conditions!$C$11*C5*D5))*(conditions!$C$18/conditions!$C$4^2)+SQRT(conditions!$C$11*C5/(conditions!$C$10*D5*conditions!$C$9))*(conditions!$C$17/2)</f>
        <v>1.0689753243523474</v>
      </c>
      <c r="G5" s="2">
        <v>1.21</v>
      </c>
    </row>
    <row r="6" spans="1:7" x14ac:dyDescent="0.15">
      <c r="A6" s="1" t="s">
        <v>5</v>
      </c>
      <c r="B6" s="2">
        <v>1.176612531458274</v>
      </c>
      <c r="C6" s="8"/>
      <c r="D6" s="8"/>
      <c r="E6" s="2"/>
      <c r="F6" s="2"/>
      <c r="G6" s="2">
        <v>1.2</v>
      </c>
    </row>
    <row r="7" spans="1:7" x14ac:dyDescent="0.15">
      <c r="A7" s="1" t="s">
        <v>6</v>
      </c>
      <c r="B7" s="2">
        <v>1.180109095661618</v>
      </c>
      <c r="C7" s="8">
        <v>3.1E-2</v>
      </c>
      <c r="D7" s="8">
        <f>C7/conditions!$C$3</f>
        <v>30999999.999999996</v>
      </c>
      <c r="E7" s="2">
        <f>1+(1/conditions!$C$5)+(conditions!$C$8^2/(conditions!$C$5^2*conditions!$C$9^2))*SQRT(PI()*conditions!$C$10^3*conditions!$C$9/(C7*D7*conditions!$C$11))*conditions!$C$16</f>
        <v>1.0070889253175808</v>
      </c>
      <c r="F7" s="2">
        <f>1+(1/conditions!$C$5)+SQRT(PI()*conditions!$C$10^3*conditions!$C$9/(conditions!$C$11*C7*D7))*(conditions!$C$18/conditions!$C$4^2)+SQRT(conditions!$C$11*C7/(conditions!$C$10*D7*conditions!$C$9))*(conditions!$C$17/2)</f>
        <v>1.0418455858575024</v>
      </c>
      <c r="G7" s="2">
        <v>1.1399999999999999</v>
      </c>
    </row>
    <row r="8" spans="1:7" x14ac:dyDescent="0.15">
      <c r="A8" s="1" t="s">
        <v>7</v>
      </c>
      <c r="B8" s="2">
        <v>1.2966371061308879</v>
      </c>
      <c r="C8" s="8">
        <v>4.8999999999999998E-4</v>
      </c>
      <c r="D8" s="8">
        <f>C8/conditions!$C$3</f>
        <v>489999.99999999994</v>
      </c>
      <c r="E8" s="2">
        <f>1+(1/conditions!$C$5)+(conditions!$C$8^2/(conditions!$C$5^2*conditions!$C$9^2))*SQRT(PI()*conditions!$C$10^3*conditions!$C$9/(C8*D8*conditions!$C$11))*conditions!$C$16</f>
        <v>1.0593248670306183</v>
      </c>
      <c r="F8" s="2">
        <f>1+(1/conditions!$C$5)+SQRT(PI()*conditions!$C$10^3*conditions!$C$9/(conditions!$C$11*C8*D8))*(conditions!$C$18/conditions!$C$4^2)+SQRT(conditions!$C$11*C8/(conditions!$C$10*D8*conditions!$C$9))*(conditions!$C$17/2)</f>
        <v>1.3666997151658709</v>
      </c>
      <c r="G8" s="2">
        <v>1.71</v>
      </c>
    </row>
    <row r="9" spans="1:7" x14ac:dyDescent="0.15">
      <c r="A9" s="1" t="s">
        <v>8</v>
      </c>
      <c r="B9" s="2">
        <v>1.3899013382602869</v>
      </c>
      <c r="C9" s="8">
        <v>4.8999999999999998E-4</v>
      </c>
      <c r="D9" s="8">
        <f>C9/conditions!$C$3</f>
        <v>489999.99999999994</v>
      </c>
      <c r="E9" s="2">
        <f>1+(1/conditions!$C$5)+(conditions!$C$8^2/(conditions!$C$5^2*conditions!$C$9^2))*SQRT(PI()*conditions!$C$10^3*conditions!$C$9/(C9*D9*conditions!$C$11))*conditions!$C$16</f>
        <v>1.0593248670306183</v>
      </c>
      <c r="F9" s="2">
        <f>1+(1/conditions!$C$5)+SQRT(PI()*conditions!$C$10^3*conditions!$C$9/(conditions!$C$11*C9*D9))*(conditions!$C$18/conditions!$C$4^2)+SQRT(conditions!$C$11*C9/(conditions!$C$10*D9*conditions!$C$9))*(conditions!$C$17/2)</f>
        <v>1.3666997151658709</v>
      </c>
      <c r="G9" s="2">
        <v>1.49</v>
      </c>
    </row>
    <row r="10" spans="1:7" x14ac:dyDescent="0.15">
      <c r="A10" s="1" t="s">
        <v>9</v>
      </c>
      <c r="B10" s="2">
        <v>1.166746744811447</v>
      </c>
      <c r="C10" s="8"/>
      <c r="D10" s="8"/>
      <c r="E10" s="2"/>
      <c r="F10" s="2"/>
      <c r="G10" s="2">
        <v>1.39</v>
      </c>
    </row>
    <row r="11" spans="1:7" x14ac:dyDescent="0.15">
      <c r="A11" s="1" t="s">
        <v>10</v>
      </c>
      <c r="B11" s="2">
        <v>1.5085476086265981</v>
      </c>
      <c r="C11" s="8">
        <v>4.8000000000000001E-5</v>
      </c>
      <c r="D11" s="8">
        <f>C11/conditions!$C$3</f>
        <v>48000</v>
      </c>
      <c r="E11" s="2">
        <f>1+(1/conditions!$C$5)+(conditions!$C$8^2/(conditions!$C$5^2*conditions!$C$9^2))*SQRT(PI()*conditions!$C$10^3*conditions!$C$9/(C11*D11*conditions!$C$11))*conditions!$C$16</f>
        <v>1.5480559342708942</v>
      </c>
      <c r="F11" s="2">
        <f>1+(1/conditions!$C$5)+SQRT(PI()*conditions!$C$10^3*conditions!$C$9/(conditions!$C$11*C11*D11))*(conditions!$C$18/conditions!$C$4^2)+SQRT(conditions!$C$11*C11/(conditions!$C$10*D11*conditions!$C$9))*(conditions!$C$17/2)</f>
        <v>4.4061070677983842</v>
      </c>
      <c r="G11" s="2">
        <v>1.72</v>
      </c>
    </row>
    <row r="12" spans="1:7" x14ac:dyDescent="0.15">
      <c r="A12" s="1" t="s">
        <v>11</v>
      </c>
      <c r="B12" s="2">
        <v>1.143857929286342</v>
      </c>
      <c r="C12" s="8">
        <v>2.7000000000000001E-3</v>
      </c>
      <c r="D12" s="8">
        <f>C12/conditions!$C$3</f>
        <v>2700000</v>
      </c>
      <c r="E12" s="2">
        <f>1+(1/conditions!$C$5)+(conditions!$C$8^2/(conditions!$C$5^2*conditions!$C$9^2))*SQRT(PI()*conditions!$C$10^3*conditions!$C$9/(C12*D12*conditions!$C$11))*conditions!$C$16</f>
        <v>1.0158821054981493</v>
      </c>
      <c r="F12" s="2">
        <f>1+(1/conditions!$C$5)+SQRT(PI()*conditions!$C$10^3*conditions!$C$9/(conditions!$C$11*C12*D12))*(conditions!$C$18/conditions!$C$4^2)+SQRT(conditions!$C$11*C12/(conditions!$C$10*D12*conditions!$C$9))*(conditions!$C$17/2)</f>
        <v>1.0965301727096473</v>
      </c>
      <c r="G12" s="2">
        <v>1.1399999999999999</v>
      </c>
    </row>
    <row r="13" spans="1:7" x14ac:dyDescent="0.15">
      <c r="A13" s="1" t="s">
        <v>12</v>
      </c>
      <c r="B13" s="2">
        <v>1.1705555745615199</v>
      </c>
      <c r="C13" s="8"/>
      <c r="D13" s="8"/>
      <c r="E13" s="2"/>
      <c r="F13" s="2"/>
      <c r="G13" s="2">
        <v>1.1499999999999999</v>
      </c>
    </row>
    <row r="14" spans="1:7" x14ac:dyDescent="0.15">
      <c r="A14" s="1" t="s">
        <v>13</v>
      </c>
      <c r="B14" s="2">
        <v>1.226516610125723</v>
      </c>
      <c r="C14" s="8"/>
      <c r="D14" s="8"/>
      <c r="E14" s="2"/>
      <c r="F14" s="2"/>
      <c r="G14" s="2">
        <v>1.19</v>
      </c>
    </row>
    <row r="15" spans="1:7" x14ac:dyDescent="0.15">
      <c r="A15" s="1" t="s">
        <v>14</v>
      </c>
      <c r="B15" s="2">
        <v>1.1763742260110781</v>
      </c>
      <c r="C15" s="8"/>
      <c r="D15" s="8"/>
      <c r="E15" s="2"/>
      <c r="F15" s="2"/>
      <c r="G15" s="2">
        <v>1.1599999999999999</v>
      </c>
    </row>
    <row r="16" spans="1:7" x14ac:dyDescent="0.15">
      <c r="A16" s="1" t="s">
        <v>15</v>
      </c>
      <c r="B16" s="2">
        <v>1.269587075633829</v>
      </c>
      <c r="C16" s="8"/>
      <c r="D16" s="8"/>
      <c r="E16" s="2"/>
      <c r="F16" s="2"/>
      <c r="G16" s="2">
        <v>1.1499999999999999</v>
      </c>
    </row>
    <row r="17" spans="1:7" x14ac:dyDescent="0.15">
      <c r="A17" s="1" t="s">
        <v>16</v>
      </c>
      <c r="B17" s="2">
        <v>1.467944837839273</v>
      </c>
      <c r="C17" s="8">
        <v>5.5000000000000003E-4</v>
      </c>
      <c r="D17" s="8">
        <f>C17/conditions!$C$3</f>
        <v>550000</v>
      </c>
      <c r="E17" s="2">
        <f>1+(1/conditions!$C$5)+(conditions!$C$8^2/(conditions!$C$5^2*conditions!$C$9^2))*SQRT(PI()*conditions!$C$10^3*conditions!$C$9/(C17*D17*conditions!$C$11))*conditions!$C$16</f>
        <v>1.053534881536369</v>
      </c>
      <c r="F17" s="2">
        <f>1+(1/conditions!$C$5)+SQRT(PI()*conditions!$C$10^3*conditions!$C$9/(conditions!$C$11*C17*D17))*(conditions!$C$18/conditions!$C$4^2)+SQRT(conditions!$C$11*C17/(conditions!$C$10*D17*conditions!$C$9))*(conditions!$C$17/2)</f>
        <v>1.3306919275246465</v>
      </c>
      <c r="G17" s="2">
        <v>1.65</v>
      </c>
    </row>
    <row r="18" spans="1:7" x14ac:dyDescent="0.15">
      <c r="A18" s="1" t="s">
        <v>17</v>
      </c>
      <c r="B18" s="2">
        <v>1.4021495343135479</v>
      </c>
      <c r="C18" s="8">
        <v>6.4999999999999994E-5</v>
      </c>
      <c r="D18" s="8">
        <f>C18/conditions!$C$3</f>
        <v>64999.999999999993</v>
      </c>
      <c r="E18" s="2">
        <f>1+(1/conditions!$C$5)+(conditions!$C$8^2/(conditions!$C$5^2*conditions!$C$9^2))*SQRT(PI()*conditions!$C$10^3*conditions!$C$9/(C18*D18*conditions!$C$11))*conditions!$C$16</f>
        <v>1.4063528437692758</v>
      </c>
      <c r="F18" s="2">
        <f>1+(1/conditions!$C$5)+SQRT(PI()*conditions!$C$10^3*conditions!$C$9/(conditions!$C$11*C18*D18))*(conditions!$C$18/conditions!$C$4^2)+SQRT(conditions!$C$11*C18/(conditions!$C$10*D18*conditions!$C$9))*(conditions!$C$17/2)</f>
        <v>3.5248587821238693</v>
      </c>
      <c r="G18" s="2">
        <v>1.25</v>
      </c>
    </row>
    <row r="19" spans="1:7" x14ac:dyDescent="0.15">
      <c r="A19" s="1" t="s">
        <v>18</v>
      </c>
      <c r="B19" s="2">
        <v>1.3415882999044639</v>
      </c>
      <c r="C19" s="8"/>
      <c r="D19" s="8"/>
      <c r="E19" s="2"/>
      <c r="F19" s="2"/>
      <c r="G19" s="2">
        <v>1.3</v>
      </c>
    </row>
  </sheetData>
  <phoneticPr fontId="2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CF63-DBE0-4DDE-AB37-B6B51FC3AB97}">
  <dimension ref="B2:D18"/>
  <sheetViews>
    <sheetView tabSelected="1" workbookViewId="0">
      <selection activeCell="C19" sqref="C19"/>
    </sheetView>
    <sheetView workbookViewId="1">
      <selection activeCell="E8" sqref="E8"/>
    </sheetView>
  </sheetViews>
  <sheetFormatPr defaultRowHeight="13.5" x14ac:dyDescent="0.15"/>
  <cols>
    <col min="2" max="2" width="17.625" bestFit="1" customWidth="1"/>
  </cols>
  <sheetData>
    <row r="2" spans="2:4" x14ac:dyDescent="0.15">
      <c r="B2" s="4" t="s">
        <v>22</v>
      </c>
    </row>
    <row r="3" spans="2:4" x14ac:dyDescent="0.15">
      <c r="B3" t="s">
        <v>20</v>
      </c>
      <c r="C3" s="3">
        <v>1.0000000000000001E-9</v>
      </c>
    </row>
    <row r="4" spans="2:4" x14ac:dyDescent="0.15">
      <c r="B4" t="s">
        <v>21</v>
      </c>
      <c r="C4">
        <v>0.8</v>
      </c>
    </row>
    <row r="5" spans="2:4" x14ac:dyDescent="0.15">
      <c r="B5" t="s">
        <v>33</v>
      </c>
      <c r="C5">
        <f>200*C4</f>
        <v>160</v>
      </c>
    </row>
    <row r="7" spans="2:4" x14ac:dyDescent="0.15">
      <c r="B7" s="5" t="s">
        <v>23</v>
      </c>
    </row>
    <row r="8" spans="2:4" x14ac:dyDescent="0.15">
      <c r="B8" t="s">
        <v>24</v>
      </c>
      <c r="C8">
        <v>8.73</v>
      </c>
      <c r="D8" t="s">
        <v>25</v>
      </c>
    </row>
    <row r="9" spans="2:4" x14ac:dyDescent="0.15">
      <c r="B9" t="s">
        <v>26</v>
      </c>
      <c r="C9">
        <v>4.36E-2</v>
      </c>
      <c r="D9" t="s">
        <v>25</v>
      </c>
    </row>
    <row r="10" spans="2:4" x14ac:dyDescent="0.15">
      <c r="B10" t="s">
        <v>27</v>
      </c>
      <c r="C10" s="3">
        <v>2000</v>
      </c>
      <c r="D10" t="s">
        <v>28</v>
      </c>
    </row>
    <row r="11" spans="2:4" x14ac:dyDescent="0.15">
      <c r="B11" t="s">
        <v>29</v>
      </c>
      <c r="C11" s="3">
        <v>100000000</v>
      </c>
      <c r="D11" t="s">
        <v>28</v>
      </c>
    </row>
    <row r="12" spans="2:4" x14ac:dyDescent="0.15">
      <c r="B12" t="s">
        <v>35</v>
      </c>
      <c r="C12">
        <v>16</v>
      </c>
    </row>
    <row r="14" spans="2:4" x14ac:dyDescent="0.15">
      <c r="B14" s="5" t="s">
        <v>32</v>
      </c>
    </row>
    <row r="15" spans="2:4" x14ac:dyDescent="0.15">
      <c r="B15" t="s">
        <v>34</v>
      </c>
      <c r="C15" s="3">
        <f>SQRT(3*C10)*(C3*C9/(3*C11))^(1/6)*C12^(1/3)</f>
        <v>0.14152825712384712</v>
      </c>
    </row>
    <row r="16" spans="2:4" x14ac:dyDescent="0.15">
      <c r="B16" t="s">
        <v>36</v>
      </c>
      <c r="C16">
        <f>ERF(C15)</f>
        <v>0.15863765329383217</v>
      </c>
    </row>
    <row r="17" spans="2:3" x14ac:dyDescent="0.15">
      <c r="B17" t="s">
        <v>37</v>
      </c>
      <c r="C17">
        <f>SQRT(-2*LN(1-C4))</f>
        <v>1.7941225779941015</v>
      </c>
    </row>
    <row r="18" spans="2:3" x14ac:dyDescent="0.15">
      <c r="B18" t="s">
        <v>38</v>
      </c>
      <c r="C18">
        <f>ERF(C17)</f>
        <v>0.9888280039709888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pred</vt:lpstr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 Tatsuya</cp:lastModifiedBy>
  <dcterms:created xsi:type="dcterms:W3CDTF">2025-06-28T02:43:03Z</dcterms:created>
  <dcterms:modified xsi:type="dcterms:W3CDTF">2025-12-01T23:26:35Z</dcterms:modified>
</cp:coreProperties>
</file>